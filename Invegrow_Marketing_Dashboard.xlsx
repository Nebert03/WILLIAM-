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ETTINGS" sheetId="1" state="visible" r:id="rId1"/>
    <sheet name="DASHBOARD" sheetId="2" state="visible" r:id="rId2"/>
    <sheet name="Digital_Analytics" sheetId="3" state="visible" r:id="rId3"/>
    <sheet name="Social_Media" sheetId="4" state="visible" r:id="rId4"/>
    <sheet name="Paid_Ads" sheetId="5" state="visible" r:id="rId5"/>
    <sheet name="Email_Mktg" sheetId="6" state="visible" r:id="rId6"/>
    <sheet name="Content_PR" sheetId="7" state="visible" r:id="rId7"/>
    <sheet name="Campaigns" sheetId="8" state="visible" r:id="rId8"/>
    <sheet name="Product_Mkt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R#,##0.00"/>
    <numFmt numFmtId="166" formatCode="DD-MMM-YY"/>
  </numFmts>
  <fonts count="3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212121"/>
      <sz val="9"/>
    </font>
    <font>
      <name val="Calibri"/>
      <b val="1"/>
      <color rgb="00FFFFFF"/>
      <sz val="11"/>
    </font>
    <font>
      <name val="Calibri"/>
      <color rgb="00757575"/>
      <sz val="10"/>
    </font>
    <font>
      <name val="Calibri"/>
      <color rgb="00212121"/>
      <sz val="10"/>
    </font>
    <font>
      <name val="Calibri"/>
      <b val="1"/>
      <color rgb="002E7D32"/>
      <sz val="10"/>
    </font>
    <font>
      <name val="Calibri"/>
      <b val="1"/>
      <color rgb="00FFFFFF"/>
      <sz val="18"/>
    </font>
    <font>
      <name val="Calibri"/>
      <b val="1"/>
      <color rgb="00F57F17"/>
      <sz val="13"/>
    </font>
    <font>
      <name val="Calibri"/>
      <b val="1"/>
      <color rgb="00FFFFFF"/>
      <sz val="9"/>
    </font>
    <font>
      <name val="Calibri"/>
      <b val="1"/>
      <color rgb="001B5E20"/>
      <sz val="18"/>
    </font>
    <font>
      <name val="Calibri"/>
      <color rgb="00757575"/>
      <sz val="8"/>
    </font>
    <font>
      <name val="Calibri"/>
      <b val="1"/>
      <color rgb="0000695C"/>
      <sz val="18"/>
    </font>
    <font>
      <name val="Calibri"/>
      <b val="1"/>
      <color rgb="00F57F17"/>
      <sz val="18"/>
    </font>
    <font>
      <name val="Calibri"/>
      <b val="1"/>
      <color rgb="0001579B"/>
      <sz val="18"/>
    </font>
    <font>
      <name val="Calibri"/>
      <b val="1"/>
      <color rgb="00E65100"/>
      <sz val="18"/>
    </font>
    <font>
      <name val="Calibri"/>
      <b val="1"/>
      <color rgb="00212121"/>
      <sz val="18"/>
    </font>
    <font>
      <name val="Calibri"/>
      <color rgb="00A5D6A7"/>
      <sz val="9"/>
    </font>
    <font>
      <name val="Calibri"/>
      <b val="1"/>
      <color rgb="00FFFFFF"/>
      <sz val="15"/>
    </font>
    <font>
      <name val="Calibri"/>
      <b val="1"/>
      <color rgb="00FFFFFF"/>
      <sz val="10"/>
    </font>
    <font>
      <name val="Calibri"/>
      <b val="1"/>
      <color rgb="00212121"/>
      <sz val="10"/>
    </font>
    <font>
      <name val="Calibri"/>
      <b val="1"/>
      <color rgb="001B5E20"/>
      <sz val="10"/>
    </font>
    <font>
      <name val="Calibri"/>
      <b val="1"/>
      <color rgb="0000695C"/>
      <sz val="10"/>
    </font>
    <font>
      <name val="Calibri"/>
      <color rgb="0001579B"/>
      <sz val="10"/>
    </font>
    <font>
      <name val="Calibri"/>
      <color rgb="0000695C"/>
      <sz val="10"/>
    </font>
    <font>
      <name val="Calibri"/>
      <color rgb="00F57F17"/>
      <sz val="10"/>
    </font>
    <font>
      <name val="Calibri"/>
      <color rgb="001B5E20"/>
      <sz val="10"/>
    </font>
    <font>
      <name val="Calibri"/>
      <color rgb="00B71C1C"/>
      <sz val="10"/>
    </font>
    <font>
      <name val="Calibri"/>
      <b val="1"/>
      <color rgb="00212121"/>
      <sz val="15"/>
    </font>
    <font>
      <name val="Calibri"/>
      <b val="1"/>
      <color rgb="001B5E20"/>
      <sz val="9"/>
    </font>
    <font>
      <name val="Calibri"/>
      <color rgb="00757575"/>
      <sz val="9"/>
    </font>
  </fonts>
  <fills count="21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2E7D32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00695C"/>
      </patternFill>
    </fill>
    <fill>
      <patternFill patternType="solid">
        <fgColor rgb="00E0F2F1"/>
      </patternFill>
    </fill>
    <fill>
      <patternFill patternType="solid">
        <fgColor rgb="0001579B"/>
      </patternFill>
    </fill>
    <fill>
      <patternFill patternType="solid">
        <fgColor rgb="00E1F5FE"/>
      </patternFill>
    </fill>
    <fill>
      <patternFill patternType="solid">
        <fgColor rgb="00F57F17"/>
      </patternFill>
    </fill>
    <fill>
      <patternFill patternType="solid">
        <fgColor rgb="00FFF8E1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37474F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75757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3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3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pivotButton="0" quotePrefix="0" xfId="0"/>
    <xf numFmtId="0" fontId="0" fillId="5" borderId="1" pivotButton="0" quotePrefix="0" xfId="0"/>
    <xf numFmtId="0" fontId="6" fillId="5" borderId="1" pivotButton="0" quotePrefix="0" xfId="0"/>
    <xf numFmtId="0" fontId="4" fillId="6" borderId="1" applyAlignment="1" pivotButton="0" quotePrefix="0" xfId="0">
      <alignment horizontal="center" vertical="center"/>
    </xf>
    <xf numFmtId="0" fontId="5" fillId="6" borderId="1" pivotButton="0" quotePrefix="0" xfId="0"/>
    <xf numFmtId="0" fontId="0" fillId="6" borderId="1" pivotButton="0" quotePrefix="0" xfId="0"/>
    <xf numFmtId="0" fontId="4" fillId="8" borderId="1" applyAlignment="1" pivotButton="0" quotePrefix="0" xfId="0">
      <alignment horizontal="center" vertical="center"/>
    </xf>
    <xf numFmtId="0" fontId="5" fillId="8" borderId="1" pivotButton="0" quotePrefix="0" xfId="0"/>
    <xf numFmtId="0" fontId="0" fillId="8" borderId="1" pivotButton="0" quotePrefix="0" xfId="0"/>
    <xf numFmtId="0" fontId="4" fillId="10" borderId="1" applyAlignment="1" pivotButton="0" quotePrefix="0" xfId="0">
      <alignment horizontal="center" vertical="center"/>
    </xf>
    <xf numFmtId="0" fontId="5" fillId="10" borderId="1" pivotButton="0" quotePrefix="0" xfId="0"/>
    <xf numFmtId="0" fontId="0" fillId="10" borderId="1" pivotButton="0" quotePrefix="0" xfId="0"/>
    <xf numFmtId="0" fontId="6" fillId="6" borderId="1" pivotButton="0" quotePrefix="0" xfId="0"/>
    <xf numFmtId="0" fontId="3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3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4" fillId="12" borderId="1" applyAlignment="1" pivotButton="0" quotePrefix="0" xfId="0">
      <alignment horizontal="center" vertical="center"/>
    </xf>
    <xf numFmtId="0" fontId="5" fillId="12" borderId="1" pivotButton="0" quotePrefix="0" xfId="0"/>
    <xf numFmtId="0" fontId="0" fillId="12" borderId="1" pivotButton="0" quotePrefix="0" xfId="0"/>
    <xf numFmtId="0" fontId="4" fillId="14" borderId="1" applyAlignment="1" pivotButton="0" quotePrefix="0" xfId="0">
      <alignment horizontal="center" vertical="center"/>
    </xf>
    <xf numFmtId="0" fontId="5" fillId="14" borderId="1" pivotButton="0" quotePrefix="0" xfId="0"/>
    <xf numFmtId="0" fontId="0" fillId="14" borderId="1" pivotButton="0" quotePrefix="0" xfId="0"/>
    <xf numFmtId="0" fontId="7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0" fillId="15" borderId="1" pivotButton="0" quotePrefix="0" xfId="0"/>
    <xf numFmtId="0" fontId="8" fillId="12" borderId="2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3" fontId="10" fillId="6" borderId="1" applyAlignment="1" pivotButton="0" quotePrefix="0" xfId="0">
      <alignment horizontal="center" vertical="center"/>
    </xf>
    <xf numFmtId="164" fontId="12" fillId="8" borderId="1" applyAlignment="1" pivotButton="0" quotePrefix="0" xfId="0">
      <alignment horizontal="center" vertical="center"/>
    </xf>
    <xf numFmtId="2" fontId="13" fillId="12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3" fontId="12" fillId="8" borderId="1" applyAlignment="1" pivotButton="0" quotePrefix="0" xfId="0">
      <alignment horizontal="center" vertical="center"/>
    </xf>
    <xf numFmtId="2" fontId="1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165" fontId="14" fillId="10" borderId="1" applyAlignment="1" pivotButton="0" quotePrefix="0" xfId="0">
      <alignment horizontal="center" vertical="center"/>
    </xf>
    <xf numFmtId="3" fontId="14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/>
    </xf>
    <xf numFmtId="0" fontId="0" fillId="16" borderId="1" pivotButton="0" quotePrefix="0" xfId="0"/>
    <xf numFmtId="0" fontId="9" fillId="16" borderId="1" applyAlignment="1" pivotButton="0" quotePrefix="0" xfId="0">
      <alignment horizontal="center" vertical="center"/>
    </xf>
    <xf numFmtId="3" fontId="15" fillId="17" borderId="1" applyAlignment="1" pivotButton="0" quotePrefix="0" xfId="0">
      <alignment horizontal="center" vertical="center"/>
    </xf>
    <xf numFmtId="0" fontId="0" fillId="17" borderId="1" pivotButton="0" quotePrefix="0" xfId="0"/>
    <xf numFmtId="2" fontId="15" fillId="17" borderId="1" applyAlignment="1" pivotButton="0" quotePrefix="0" xfId="0">
      <alignment horizontal="center" vertical="center"/>
    </xf>
    <xf numFmtId="0" fontId="11" fillId="1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165" fontId="10" fillId="6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3" fontId="16" fillId="18" borderId="1" applyAlignment="1" pivotButton="0" quotePrefix="0" xfId="0">
      <alignment horizontal="center" vertical="center"/>
    </xf>
    <xf numFmtId="0" fontId="0" fillId="18" borderId="1" pivotButton="0" quotePrefix="0" xfId="0"/>
    <xf numFmtId="165" fontId="16" fillId="18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left" vertical="center"/>
    </xf>
    <xf numFmtId="0" fontId="18" fillId="4" borderId="1" applyAlignment="1" pivotButton="0" quotePrefix="0" xfId="0">
      <alignment horizontal="left" vertical="center"/>
    </xf>
    <xf numFmtId="0" fontId="17" fillId="2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left" vertical="center"/>
    </xf>
    <xf numFmtId="0" fontId="0" fillId="19" borderId="1" pivotButton="0" quotePrefix="0" xfId="0"/>
    <xf numFmtId="0" fontId="19" fillId="15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center" vertical="center"/>
    </xf>
    <xf numFmtId="0" fontId="19" fillId="15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3" fontId="21" fillId="3" borderId="1" applyAlignment="1" pivotButton="0" quotePrefix="0" xfId="0">
      <alignment horizontal="center" vertical="center"/>
    </xf>
    <xf numFmtId="2" fontId="21" fillId="3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19" fillId="4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/>
    </xf>
    <xf numFmtId="2" fontId="5" fillId="12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4" fontId="23" fillId="10" borderId="1" applyAlignment="1" pivotButton="0" quotePrefix="0" xfId="0">
      <alignment horizontal="center" vertical="center"/>
    </xf>
    <xf numFmtId="2" fontId="24" fillId="8" borderId="1" applyAlignment="1" pivotButton="0" quotePrefix="0" xfId="0">
      <alignment horizontal="center" vertical="center"/>
    </xf>
    <xf numFmtId="165" fontId="24" fillId="8" borderId="1" applyAlignment="1" pivotButton="0" quotePrefix="0" xfId="0">
      <alignment horizontal="center" vertical="center"/>
    </xf>
    <xf numFmtId="165" fontId="25" fillId="12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21" fillId="3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left" vertical="center"/>
    </xf>
    <xf numFmtId="0" fontId="19" fillId="16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center" vertical="center" wrapText="1"/>
    </xf>
    <xf numFmtId="2" fontId="23" fillId="10" borderId="1" applyAlignment="1" pivotButton="0" quotePrefix="0" xfId="0">
      <alignment horizontal="center" vertical="center"/>
    </xf>
    <xf numFmtId="2" fontId="26" fillId="6" borderId="1" applyAlignment="1" pivotButton="0" quotePrefix="0" xfId="0">
      <alignment horizontal="center" vertical="center"/>
    </xf>
    <xf numFmtId="2" fontId="27" fillId="14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center"/>
    </xf>
    <xf numFmtId="0" fontId="28" fillId="11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166" fontId="5" fillId="6" borderId="1" applyAlignment="1" pivotButton="0" quotePrefix="0" xfId="0">
      <alignment horizontal="center" vertical="center"/>
    </xf>
    <xf numFmtId="164" fontId="26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166" fontId="5" fillId="5" borderId="1" applyAlignment="1" pivotButton="0" quotePrefix="0" xfId="0">
      <alignment horizontal="center" vertical="center"/>
    </xf>
    <xf numFmtId="0" fontId="29" fillId="3" borderId="1" applyAlignment="1" pivotButton="0" quotePrefix="0" xfId="0">
      <alignment horizontal="left" vertical="center"/>
    </xf>
    <xf numFmtId="1" fontId="5" fillId="6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0" fontId="30" fillId="3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" customWidth="1" min="3" max="3"/>
    <col width="3" customWidth="1" min="4" max="4"/>
    <col width="5" customWidth="1" min="5" max="5"/>
    <col width="28" customWidth="1" min="6" max="6"/>
    <col width="4" customWidth="1" min="7" max="7"/>
    <col width="3" customWidth="1" min="8" max="8"/>
    <col width="5" customWidth="1" min="9" max="9"/>
    <col width="32" customWidth="1" min="10" max="10"/>
    <col width="4" customWidth="1" min="11" max="11"/>
    <col width="3" customWidth="1" min="12" max="12"/>
    <col width="5" customWidth="1" min="13" max="13"/>
    <col width="12" customWidth="1" min="14" max="14"/>
  </cols>
  <sheetData>
    <row r="1" ht="42" customHeight="1">
      <c r="A1" s="1" t="inlineStr">
        <is>
          <t>⚙   SETTINGS &amp; REFERENCE DATA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16" customHeight="1">
      <c r="A3" s="3" t="inlineStr">
        <is>
          <t>DO NOT MODIFY  —  Reference lists used by dropdowns and formulas across the workbook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5">
      <c r="A5" s="5" t="inlineStr">
        <is>
          <t>PRODUCTS — Foods Line (10)</t>
        </is>
      </c>
      <c r="B5" s="6" t="n"/>
      <c r="C5" s="6" t="n"/>
      <c r="E5" s="7" t="inlineStr">
        <is>
          <t>SOCIAL PLATFORMS</t>
        </is>
      </c>
      <c r="F5" s="8" t="n"/>
      <c r="G5" s="8" t="n"/>
      <c r="I5" s="9" t="inlineStr">
        <is>
          <t>AD / MEDIA PLATFORMS</t>
        </is>
      </c>
      <c r="J5" s="10" t="n"/>
      <c r="K5" s="10" t="n"/>
      <c r="M5" s="11" t="inlineStr">
        <is>
          <t>REPORTING MONTHS</t>
        </is>
      </c>
      <c r="N5" s="2" t="n"/>
    </row>
    <row r="6" ht="18" customHeight="1">
      <c r="A6" s="12" t="n">
        <v>1</v>
      </c>
      <c r="B6" s="13" t="inlineStr">
        <is>
          <t>Hemp Seed Oil 500ml</t>
        </is>
      </c>
      <c r="C6" s="14" t="inlineStr"/>
      <c r="E6" s="12" t="n">
        <v>1</v>
      </c>
      <c r="F6" s="13" t="inlineStr">
        <is>
          <t>Instagram</t>
        </is>
      </c>
      <c r="G6" s="14" t="n"/>
      <c r="I6" s="12" t="n">
        <v>1</v>
      </c>
      <c r="J6" s="13" t="inlineStr">
        <is>
          <t>Meta (Facebook/Instagram)</t>
        </is>
      </c>
      <c r="K6" s="14" t="n"/>
      <c r="M6" s="12" t="n">
        <v>1</v>
      </c>
      <c r="N6" s="15" t="inlineStr">
        <is>
          <t>Jan-25</t>
        </is>
      </c>
    </row>
    <row r="7" ht="18" customHeight="1">
      <c r="A7" s="16" t="n">
        <v>2</v>
      </c>
      <c r="B7" s="17" t="inlineStr">
        <is>
          <t>Hemp Protein Powder 1kg</t>
        </is>
      </c>
      <c r="C7" s="18" t="inlineStr"/>
      <c r="E7" s="19" t="n">
        <v>2</v>
      </c>
      <c r="F7" s="20" t="inlineStr">
        <is>
          <t>Facebook</t>
        </is>
      </c>
      <c r="G7" s="21" t="n"/>
      <c r="I7" s="22" t="n">
        <v>2</v>
      </c>
      <c r="J7" s="23" t="inlineStr">
        <is>
          <t>Google Ads</t>
        </is>
      </c>
      <c r="K7" s="24" t="n"/>
      <c r="M7" s="16" t="n">
        <v>2</v>
      </c>
      <c r="N7" s="25" t="inlineStr">
        <is>
          <t>Feb-25</t>
        </is>
      </c>
    </row>
    <row r="8" ht="18" customHeight="1">
      <c r="A8" s="12" t="n">
        <v>3</v>
      </c>
      <c r="B8" s="13" t="inlineStr">
        <is>
          <t>Hemp Hearts 500g</t>
        </is>
      </c>
      <c r="C8" s="14" t="inlineStr"/>
      <c r="E8" s="12" t="n">
        <v>3</v>
      </c>
      <c r="F8" s="13" t="inlineStr">
        <is>
          <t>TikTok</t>
        </is>
      </c>
      <c r="G8" s="14" t="n"/>
      <c r="I8" s="12" t="n">
        <v>3</v>
      </c>
      <c r="J8" s="13" t="inlineStr">
        <is>
          <t>TikTok Ads</t>
        </is>
      </c>
      <c r="K8" s="14" t="n"/>
      <c r="M8" s="12" t="n">
        <v>3</v>
      </c>
      <c r="N8" s="15" t="inlineStr">
        <is>
          <t>Mar-25</t>
        </is>
      </c>
    </row>
    <row r="9" ht="18" customHeight="1">
      <c r="A9" s="16" t="n">
        <v>4</v>
      </c>
      <c r="B9" s="17" t="inlineStr">
        <is>
          <t>Hemp Granola 400g</t>
        </is>
      </c>
      <c r="C9" s="18" t="inlineStr"/>
      <c r="E9" s="19" t="n">
        <v>4</v>
      </c>
      <c r="F9" s="20" t="inlineStr">
        <is>
          <t>YouTube</t>
        </is>
      </c>
      <c r="G9" s="21" t="n"/>
      <c r="I9" s="22" t="n">
        <v>4</v>
      </c>
      <c r="J9" s="23" t="inlineStr">
        <is>
          <t>YouTube Ads</t>
        </is>
      </c>
      <c r="K9" s="24" t="n"/>
      <c r="M9" s="16" t="n">
        <v>4</v>
      </c>
      <c r="N9" s="25" t="inlineStr">
        <is>
          <t>Apr-25</t>
        </is>
      </c>
    </row>
    <row r="10" ht="18" customHeight="1">
      <c r="A10" s="12" t="n">
        <v>5</v>
      </c>
      <c r="B10" s="13" t="inlineStr">
        <is>
          <t>Hemp Energy Bar (Box 12)</t>
        </is>
      </c>
      <c r="C10" s="14" t="inlineStr"/>
      <c r="E10" s="12" t="n">
        <v>5</v>
      </c>
      <c r="F10" s="13" t="inlineStr">
        <is>
          <t>LinkedIn</t>
        </is>
      </c>
      <c r="G10" s="14" t="n"/>
      <c r="I10" s="12" t="n">
        <v>5</v>
      </c>
      <c r="J10" s="13" t="inlineStr">
        <is>
          <t>Display/Programmatic</t>
        </is>
      </c>
      <c r="K10" s="14" t="n"/>
      <c r="M10" s="12" t="n">
        <v>5</v>
      </c>
      <c r="N10" s="15" t="inlineStr">
        <is>
          <t>May-25</t>
        </is>
      </c>
    </row>
    <row r="11" ht="18" customHeight="1">
      <c r="A11" s="16" t="n">
        <v>6</v>
      </c>
      <c r="B11" s="17" t="inlineStr">
        <is>
          <t>Hemp Superfood Blend 300g</t>
        </is>
      </c>
      <c r="C11" s="18" t="inlineStr"/>
      <c r="E11" s="19" t="n">
        <v>6</v>
      </c>
      <c r="F11" s="20" t="inlineStr">
        <is>
          <t>Twitter/X</t>
        </is>
      </c>
      <c r="G11" s="21" t="n"/>
      <c r="I11" s="22" t="n">
        <v>6</v>
      </c>
      <c r="J11" s="23" t="inlineStr">
        <is>
          <t>Influencer</t>
        </is>
      </c>
      <c r="K11" s="24" t="n"/>
      <c r="M11" s="16" t="n">
        <v>6</v>
      </c>
      <c r="N11" s="25" t="inlineStr">
        <is>
          <t>Jun-25</t>
        </is>
      </c>
    </row>
    <row r="12" ht="18" customHeight="1">
      <c r="A12" s="12" t="n">
        <v>7</v>
      </c>
      <c r="B12" s="13" t="inlineStr">
        <is>
          <t>Hemp Omega Capsules 60s</t>
        </is>
      </c>
      <c r="C12" s="14" t="inlineStr"/>
      <c r="I12" s="12" t="n">
        <v>7</v>
      </c>
      <c r="J12" s="13" t="inlineStr">
        <is>
          <t>Other</t>
        </is>
      </c>
      <c r="K12" s="14" t="n"/>
      <c r="M12" s="12" t="n">
        <v>7</v>
      </c>
      <c r="N12" s="15" t="inlineStr">
        <is>
          <t>Jul-25</t>
        </is>
      </c>
    </row>
    <row r="13" ht="18" customHeight="1">
      <c r="A13" s="16" t="n">
        <v>8</v>
      </c>
      <c r="B13" s="17" t="inlineStr">
        <is>
          <t>Hemp Infused Honey 250g</t>
        </is>
      </c>
      <c r="C13" s="18" t="inlineStr"/>
      <c r="M13" s="16" t="n">
        <v>8</v>
      </c>
      <c r="N13" s="25" t="inlineStr">
        <is>
          <t>Aug-25</t>
        </is>
      </c>
    </row>
    <row r="14" ht="18" customHeight="1">
      <c r="A14" s="12" t="n">
        <v>9</v>
      </c>
      <c r="B14" s="13" t="inlineStr">
        <is>
          <t>Hemp Seed Butter 400g</t>
        </is>
      </c>
      <c r="C14" s="14" t="inlineStr"/>
      <c r="M14" s="12" t="n">
        <v>9</v>
      </c>
      <c r="N14" s="15" t="inlineStr">
        <is>
          <t>Sep-25</t>
        </is>
      </c>
    </row>
    <row r="15" ht="18" customHeight="1">
      <c r="A15" s="16" t="n">
        <v>10</v>
      </c>
      <c r="B15" s="17" t="inlineStr">
        <is>
          <t>Hemp Flour 1kg</t>
        </is>
      </c>
      <c r="C15" s="18" t="inlineStr"/>
      <c r="M15" s="16" t="n">
        <v>10</v>
      </c>
      <c r="N15" s="25" t="inlineStr">
        <is>
          <t>Oct-25</t>
        </is>
      </c>
    </row>
    <row r="16">
      <c r="M16" s="12" t="n">
        <v>11</v>
      </c>
      <c r="N16" s="15" t="inlineStr">
        <is>
          <t>Nov-25</t>
        </is>
      </c>
    </row>
    <row r="17">
      <c r="M17" s="16" t="n">
        <v>12</v>
      </c>
      <c r="N17" s="25" t="inlineStr">
        <is>
          <t>Dec-25</t>
        </is>
      </c>
    </row>
    <row r="18">
      <c r="E18" s="26" t="inlineStr">
        <is>
          <t>CAMPAIGN STATUSES</t>
        </is>
      </c>
      <c r="F18" s="27" t="n"/>
      <c r="G18" s="27" t="n"/>
      <c r="I18" s="28" t="inlineStr">
        <is>
          <t>CAMPAIGN OBJECTIVES</t>
        </is>
      </c>
      <c r="J18" s="29" t="n"/>
      <c r="K18" s="29" t="n"/>
      <c r="M18" s="12" t="n">
        <v>13</v>
      </c>
      <c r="N18" s="15" t="inlineStr">
        <is>
          <t>Jan-26</t>
        </is>
      </c>
    </row>
    <row r="19">
      <c r="E19" s="12" t="n">
        <v>1</v>
      </c>
      <c r="F19" s="13" t="inlineStr">
        <is>
          <t>Planning</t>
        </is>
      </c>
      <c r="G19" s="14" t="n"/>
      <c r="I19" s="12" t="n">
        <v>1</v>
      </c>
      <c r="J19" s="13" t="inlineStr">
        <is>
          <t>Brand Awareness</t>
        </is>
      </c>
      <c r="K19" s="14" t="n"/>
      <c r="M19" s="16" t="n">
        <v>14</v>
      </c>
      <c r="N19" s="25" t="inlineStr">
        <is>
          <t>Feb-26</t>
        </is>
      </c>
    </row>
    <row r="20">
      <c r="E20" s="30" t="n">
        <v>2</v>
      </c>
      <c r="F20" s="31" t="inlineStr">
        <is>
          <t>Active</t>
        </is>
      </c>
      <c r="G20" s="32" t="n"/>
      <c r="I20" s="33" t="n">
        <v>2</v>
      </c>
      <c r="J20" s="34" t="inlineStr">
        <is>
          <t>Reach</t>
        </is>
      </c>
      <c r="K20" s="35" t="n"/>
      <c r="M20" s="12" t="n">
        <v>15</v>
      </c>
      <c r="N20" s="15" t="inlineStr">
        <is>
          <t>Mar-26</t>
        </is>
      </c>
    </row>
    <row r="21">
      <c r="E21" s="12" t="n">
        <v>3</v>
      </c>
      <c r="F21" s="13" t="inlineStr">
        <is>
          <t>Paused</t>
        </is>
      </c>
      <c r="G21" s="14" t="n"/>
      <c r="I21" s="12" t="n">
        <v>3</v>
      </c>
      <c r="J21" s="13" t="inlineStr">
        <is>
          <t>Engagement</t>
        </is>
      </c>
      <c r="K21" s="14" t="n"/>
      <c r="M21" s="16" t="n">
        <v>16</v>
      </c>
      <c r="N21" s="25" t="inlineStr">
        <is>
          <t>Apr-26</t>
        </is>
      </c>
    </row>
    <row r="22">
      <c r="E22" s="30" t="n">
        <v>4</v>
      </c>
      <c r="F22" s="31" t="inlineStr">
        <is>
          <t>Completed</t>
        </is>
      </c>
      <c r="G22" s="32" t="n"/>
      <c r="I22" s="33" t="n">
        <v>4</v>
      </c>
      <c r="J22" s="34" t="inlineStr">
        <is>
          <t>Website Traffic</t>
        </is>
      </c>
      <c r="K22" s="35" t="n"/>
      <c r="M22" s="12" t="n">
        <v>17</v>
      </c>
      <c r="N22" s="15" t="inlineStr">
        <is>
          <t>May-26</t>
        </is>
      </c>
    </row>
    <row r="23">
      <c r="E23" s="12" t="n">
        <v>5</v>
      </c>
      <c r="F23" s="13" t="inlineStr">
        <is>
          <t>Cancelled</t>
        </is>
      </c>
      <c r="G23" s="14" t="n"/>
      <c r="I23" s="12" t="n">
        <v>5</v>
      </c>
      <c r="J23" s="13" t="inlineStr">
        <is>
          <t>Lead Generation</t>
        </is>
      </c>
      <c r="K23" s="14" t="n"/>
      <c r="M23" s="16" t="n">
        <v>18</v>
      </c>
      <c r="N23" s="25" t="inlineStr">
        <is>
          <t>Jun-26</t>
        </is>
      </c>
    </row>
    <row r="24">
      <c r="I24" s="33" t="n">
        <v>6</v>
      </c>
      <c r="J24" s="34" t="inlineStr">
        <is>
          <t>Product Launch</t>
        </is>
      </c>
      <c r="K24" s="35" t="n"/>
      <c r="M24" s="12" t="n">
        <v>19</v>
      </c>
      <c r="N24" s="15" t="inlineStr">
        <is>
          <t>Jul-26</t>
        </is>
      </c>
    </row>
    <row r="25">
      <c r="I25" s="12" t="n">
        <v>7</v>
      </c>
      <c r="J25" s="13" t="inlineStr">
        <is>
          <t>Seasonal Promo</t>
        </is>
      </c>
      <c r="K25" s="14" t="n"/>
      <c r="M25" s="16" t="n">
        <v>20</v>
      </c>
      <c r="N25" s="25" t="inlineStr">
        <is>
          <t>Aug-26</t>
        </is>
      </c>
    </row>
    <row r="26">
      <c r="I26" s="33" t="n">
        <v>8</v>
      </c>
      <c r="J26" s="34" t="inlineStr">
        <is>
          <t>Retargeting</t>
        </is>
      </c>
      <c r="K26" s="35" t="n"/>
      <c r="M26" s="12" t="n">
        <v>21</v>
      </c>
      <c r="N26" s="15" t="inlineStr">
        <is>
          <t>Sep-26</t>
        </is>
      </c>
    </row>
    <row r="27">
      <c r="M27" s="16" t="n">
        <v>22</v>
      </c>
      <c r="N27" s="25" t="inlineStr">
        <is>
          <t>Oct-26</t>
        </is>
      </c>
    </row>
    <row r="28">
      <c r="M28" s="12" t="n">
        <v>23</v>
      </c>
      <c r="N28" s="15" t="inlineStr">
        <is>
          <t>Nov-26</t>
        </is>
      </c>
    </row>
    <row r="29">
      <c r="M29" s="16" t="n">
        <v>24</v>
      </c>
      <c r="N29" s="25" t="inlineStr">
        <is>
          <t>Dec-26</t>
        </is>
      </c>
    </row>
  </sheetData>
  <mergeCells count="8">
    <mergeCell ref="A5:C5"/>
    <mergeCell ref="E5:G5"/>
    <mergeCell ref="I5:K5"/>
    <mergeCell ref="A1:P2"/>
    <mergeCell ref="E18:G18"/>
    <mergeCell ref="M5:N5"/>
    <mergeCell ref="A3:P3"/>
    <mergeCell ref="I18:K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50" customHeight="1">
      <c r="A1" s="36" t="inlineStr">
        <is>
          <t xml:space="preserve">   INVEGROW  |  Foods Line  —  Marketing Performance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2" customHeight="1">
      <c r="A2" s="37" t="inlineStr">
        <is>
          <t>Real-time marketing metrics overview. All figures pull automatically from data entry sheets.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3" ht="30" customHeight="1">
      <c r="A3" s="38" t="inlineStr">
        <is>
          <t xml:space="preserve">   REPORTING MONTH:</t>
        </is>
      </c>
      <c r="B3" s="39" t="n"/>
      <c r="C3" s="39" t="n"/>
      <c r="D3" s="39" t="n"/>
      <c r="E3" s="39" t="n"/>
      <c r="F3" s="39" t="n"/>
      <c r="G3" s="39" t="n"/>
      <c r="H3" s="39" t="n"/>
      <c r="I3" s="40" t="inlineStr">
        <is>
          <t>Jan-25</t>
        </is>
      </c>
      <c r="J3" s="41" t="inlineStr">
        <is>
          <t>◀  Select the month from dropdown to update all KPIs</t>
        </is>
      </c>
      <c r="K3" s="32" t="n"/>
      <c r="L3" s="32" t="n"/>
      <c r="M3" s="32" t="n"/>
      <c r="N3" s="32" t="n"/>
      <c r="O3" s="32" t="n"/>
      <c r="P3" s="32" t="n"/>
      <c r="Q3" s="32" t="n"/>
      <c r="R3" s="32" t="n"/>
    </row>
    <row r="4" ht="18" customHeight="1"/>
    <row r="5" ht="24" customHeight="1">
      <c r="A5" s="42" t="inlineStr">
        <is>
          <t xml:space="preserve">  🌐  WEBSITE &amp; DIGITAL  —  data from Digital Analytics sheet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</row>
    <row r="6" ht="18" customHeight="1">
      <c r="A6" s="43" t="inlineStr">
        <is>
          <t>SESSIONS</t>
        </is>
      </c>
      <c r="B6" s="2" t="n"/>
      <c r="C6" s="2" t="n"/>
      <c r="E6" s="43" t="inlineStr">
        <is>
          <t>UNIQUE VISITORS</t>
        </is>
      </c>
      <c r="F6" s="2" t="n"/>
      <c r="G6" s="2" t="n"/>
      <c r="I6" s="44" t="inlineStr">
        <is>
          <t>BOUNCE RATE %</t>
        </is>
      </c>
      <c r="J6" s="8" t="n"/>
      <c r="K6" s="8" t="n"/>
      <c r="M6" s="45" t="inlineStr">
        <is>
          <t>CONVERSION RATE %</t>
        </is>
      </c>
      <c r="N6" s="27" t="n"/>
      <c r="O6" s="27" t="n"/>
    </row>
    <row r="7" ht="28" customHeight="1">
      <c r="A7" s="46">
        <f>IFERROR(SUMIF('Digital_Analytics'!$A:$A,$I$3,'Digital_Analytics'!$B:$B),"–")</f>
        <v/>
      </c>
      <c r="B7" s="18" t="n"/>
      <c r="C7" s="18" t="n"/>
      <c r="E7" s="46">
        <f>IFERROR(SUMIF('Digital_Analytics'!$A:$A,$I$3,'Digital_Analytics'!$C:$C),"–")</f>
        <v/>
      </c>
      <c r="F7" s="18" t="n"/>
      <c r="G7" s="18" t="n"/>
      <c r="I7" s="47">
        <f>IFERROR(AVERAGEIF('Digital_Analytics'!$A:$A,$I$3,'Digital_Analytics'!$E:$E),"–")</f>
        <v/>
      </c>
      <c r="J7" s="21" t="n"/>
      <c r="K7" s="21" t="n"/>
      <c r="M7" s="48">
        <f>IFERROR(AVERAGEIF('Digital_Analytics'!$A:$A,$I$3,'Digital_Analytics'!$M:$M),"–")</f>
        <v/>
      </c>
      <c r="N7" s="32" t="n"/>
      <c r="O7" s="32" t="n"/>
    </row>
    <row r="8" customHeight="1">
      <c r="A8" s="18" t="n"/>
      <c r="B8" s="18" t="n"/>
      <c r="C8" s="18" t="n"/>
      <c r="E8" s="18" t="n"/>
      <c r="F8" s="18" t="n"/>
      <c r="G8" s="18" t="n"/>
      <c r="I8" s="21" t="n"/>
      <c r="J8" s="21" t="n"/>
      <c r="K8" s="21" t="n"/>
      <c r="M8" s="32" t="n"/>
      <c r="N8" s="32" t="n"/>
      <c r="O8" s="32" t="n"/>
    </row>
    <row r="9" ht="14" customHeight="1">
      <c r="A9" s="49" t="inlineStr">
        <is>
          <t>Monthly website sessions</t>
        </is>
      </c>
      <c r="B9" s="18" t="n"/>
      <c r="C9" s="18" t="n"/>
      <c r="E9" s="49" t="inlineStr">
        <is>
          <t>Unique users to site</t>
        </is>
      </c>
      <c r="F9" s="18" t="n"/>
      <c r="G9" s="18" t="n"/>
      <c r="I9" s="50" t="inlineStr">
        <is>
          <t>Lower is better</t>
        </is>
      </c>
      <c r="J9" s="21" t="n"/>
      <c r="K9" s="21" t="n"/>
      <c r="M9" s="51" t="inlineStr">
        <is>
          <t>Goal completions / sessions</t>
        </is>
      </c>
      <c r="N9" s="32" t="n"/>
      <c r="O9" s="32" t="n"/>
    </row>
    <row r="11" ht="24" customHeight="1">
      <c r="A11" s="52" t="inlineStr">
        <is>
          <t xml:space="preserve">  📱  SOCIAL MEDIA  —  data from Social Media sheet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</row>
    <row r="12" ht="18" customHeight="1">
      <c r="A12" s="44" t="inlineStr">
        <is>
          <t>TOTAL FOLLOWERS</t>
        </is>
      </c>
      <c r="B12" s="8" t="n"/>
      <c r="C12" s="8" t="n"/>
      <c r="E12" s="44" t="inlineStr">
        <is>
          <t>NEW FOLLOWERS</t>
        </is>
      </c>
      <c r="F12" s="8" t="n"/>
      <c r="G12" s="8" t="n"/>
      <c r="I12" s="44" t="inlineStr">
        <is>
          <t>TOTAL IMPRESSIONS</t>
        </is>
      </c>
      <c r="J12" s="8" t="n"/>
      <c r="K12" s="8" t="n"/>
      <c r="M12" s="44" t="inlineStr">
        <is>
          <t>AVG ENGAGEMENT RATE %</t>
        </is>
      </c>
      <c r="N12" s="8" t="n"/>
      <c r="O12" s="8" t="n"/>
    </row>
    <row r="13" ht="28" customHeight="1">
      <c r="A13" s="53">
        <f>IFERROR(SUMIF('Social_Media'!$A:$A,$I$3,'Social_Media'!$C:$C),"–")</f>
        <v/>
      </c>
      <c r="B13" s="21" t="n"/>
      <c r="C13" s="21" t="n"/>
      <c r="E13" s="53">
        <f>IFERROR(SUMIF('Social_Media'!$A:$A,$I$3,'Social_Media'!$D:$D),"–")</f>
        <v/>
      </c>
      <c r="F13" s="21" t="n"/>
      <c r="G13" s="21" t="n"/>
      <c r="I13" s="53">
        <f>IFERROR(SUMIF('Social_Media'!$A:$A,$I$3,'Social_Media'!$F:$F),"–")</f>
        <v/>
      </c>
      <c r="J13" s="21" t="n"/>
      <c r="K13" s="21" t="n"/>
      <c r="M13" s="54">
        <f>IFERROR(AVERAGEIF('Social_Media'!$A:$A,$I$3,'Social_Media'!$M:$M),"–")</f>
        <v/>
      </c>
      <c r="N13" s="21" t="n"/>
      <c r="O13" s="21" t="n"/>
    </row>
    <row r="14" customHeight="1">
      <c r="A14" s="21" t="n"/>
      <c r="B14" s="21" t="n"/>
      <c r="C14" s="21" t="n"/>
      <c r="E14" s="21" t="n"/>
      <c r="F14" s="21" t="n"/>
      <c r="G14" s="21" t="n"/>
      <c r="I14" s="21" t="n"/>
      <c r="J14" s="21" t="n"/>
      <c r="K14" s="21" t="n"/>
      <c r="M14" s="21" t="n"/>
      <c r="N14" s="21" t="n"/>
      <c r="O14" s="21" t="n"/>
    </row>
    <row r="15" ht="14" customHeight="1">
      <c r="A15" s="50" t="inlineStr">
        <is>
          <t>All platforms combined</t>
        </is>
      </c>
      <c r="B15" s="21" t="n"/>
      <c r="C15" s="21" t="n"/>
      <c r="E15" s="50" t="inlineStr">
        <is>
          <t>Net new this month</t>
        </is>
      </c>
      <c r="F15" s="21" t="n"/>
      <c r="G15" s="21" t="n"/>
      <c r="I15" s="50" t="inlineStr">
        <is>
          <t>All platforms</t>
        </is>
      </c>
      <c r="J15" s="21" t="n"/>
      <c r="K15" s="21" t="n"/>
      <c r="M15" s="50" t="inlineStr">
        <is>
          <t>Across platforms</t>
        </is>
      </c>
      <c r="N15" s="21" t="n"/>
      <c r="O15" s="21" t="n"/>
    </row>
    <row r="17" ht="24" customHeight="1">
      <c r="A17" s="55" t="inlineStr">
        <is>
          <t xml:space="preserve">  💰  PAID ADVERTISING  —  data from Paid Ads sheet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</row>
    <row r="18" ht="18" customHeight="1">
      <c r="A18" s="56" t="inlineStr">
        <is>
          <t>TOTAL AD SPEND (R)</t>
        </is>
      </c>
      <c r="B18" s="10" t="n"/>
      <c r="C18" s="10" t="n"/>
      <c r="E18" s="56" t="inlineStr">
        <is>
          <t>PAID IMPRESSIONS</t>
        </is>
      </c>
      <c r="F18" s="10" t="n"/>
      <c r="G18" s="10" t="n"/>
      <c r="I18" s="56" t="inlineStr">
        <is>
          <t>TOTAL PAID CLICKS</t>
        </is>
      </c>
      <c r="J18" s="10" t="n"/>
      <c r="K18" s="10" t="n"/>
      <c r="M18" s="56" t="inlineStr">
        <is>
          <t>PAID CONVERSIONS</t>
        </is>
      </c>
      <c r="N18" s="10" t="n"/>
      <c r="O18" s="10" t="n"/>
    </row>
    <row r="19" ht="28" customHeight="1">
      <c r="A19" s="57">
        <f>IFERROR(SUMIF('Paid_Ads'!$A:$A,$I$3,'Paid_Ads'!$G:$G),"–")</f>
        <v/>
      </c>
      <c r="B19" s="24" t="n"/>
      <c r="C19" s="24" t="n"/>
      <c r="E19" s="58">
        <f>IFERROR(SUMIF('Paid_Ads'!$A:$A,$I$3,'Paid_Ads'!$I:$I),"–")</f>
        <v/>
      </c>
      <c r="F19" s="24" t="n"/>
      <c r="G19" s="24" t="n"/>
      <c r="I19" s="58">
        <f>IFERROR(SUMIF('Paid_Ads'!$A:$A,$I$3,'Paid_Ads'!$J:$J),"–")</f>
        <v/>
      </c>
      <c r="J19" s="24" t="n"/>
      <c r="K19" s="24" t="n"/>
      <c r="M19" s="58">
        <f>IFERROR(SUMIF('Paid_Ads'!$A:$A,$I$3,'Paid_Ads'!$N:$N),"–")</f>
        <v/>
      </c>
      <c r="N19" s="24" t="n"/>
      <c r="O19" s="24" t="n"/>
    </row>
    <row r="20" customHeight="1">
      <c r="A20" s="24" t="n"/>
      <c r="B20" s="24" t="n"/>
      <c r="C20" s="24" t="n"/>
      <c r="E20" s="24" t="n"/>
      <c r="F20" s="24" t="n"/>
      <c r="G20" s="24" t="n"/>
      <c r="I20" s="24" t="n"/>
      <c r="J20" s="24" t="n"/>
      <c r="K20" s="24" t="n"/>
      <c r="M20" s="24" t="n"/>
      <c r="N20" s="24" t="n"/>
      <c r="O20" s="24" t="n"/>
    </row>
    <row r="21" ht="14" customHeight="1">
      <c r="A21" s="59" t="inlineStr">
        <is>
          <t>Actual spend this month</t>
        </is>
      </c>
      <c r="B21" s="24" t="n"/>
      <c r="C21" s="24" t="n"/>
      <c r="E21" s="59" t="inlineStr">
        <is>
          <t>All paid campaigns</t>
        </is>
      </c>
      <c r="F21" s="24" t="n"/>
      <c r="G21" s="24" t="n"/>
      <c r="I21" s="59" t="inlineStr">
        <is>
          <t>All paid campaigns</t>
        </is>
      </c>
      <c r="J21" s="24" t="n"/>
      <c r="K21" s="24" t="n"/>
      <c r="M21" s="59" t="inlineStr">
        <is>
          <t>Goal completions via ads</t>
        </is>
      </c>
      <c r="N21" s="24" t="n"/>
      <c r="O21" s="24" t="n"/>
    </row>
    <row r="23" ht="24" customHeight="1">
      <c r="A23" s="60" t="inlineStr">
        <is>
          <t xml:space="preserve">  📧  EMAIL MARKETING  —  data from Email Mktg sheet</t>
        </is>
      </c>
      <c r="B23" s="61" t="n"/>
      <c r="C23" s="61" t="n"/>
      <c r="D23" s="61" t="n"/>
      <c r="E23" s="61" t="n"/>
      <c r="F23" s="61" t="n"/>
      <c r="G23" s="61" t="n"/>
      <c r="H23" s="61" t="n"/>
      <c r="I23" s="61" t="n"/>
      <c r="J23" s="61" t="n"/>
      <c r="K23" s="61" t="n"/>
      <c r="L23" s="61" t="n"/>
      <c r="M23" s="61" t="n"/>
      <c r="N23" s="61" t="n"/>
      <c r="O23" s="61" t="n"/>
      <c r="P23" s="61" t="n"/>
      <c r="Q23" s="61" t="n"/>
      <c r="R23" s="61" t="n"/>
    </row>
    <row r="24" ht="18" customHeight="1">
      <c r="A24" s="62" t="inlineStr">
        <is>
          <t>EMAILS SENT</t>
        </is>
      </c>
      <c r="B24" s="61" t="n"/>
      <c r="C24" s="61" t="n"/>
      <c r="E24" s="62" t="inlineStr">
        <is>
          <t>AVG OPEN RATE %</t>
        </is>
      </c>
      <c r="F24" s="61" t="n"/>
      <c r="G24" s="61" t="n"/>
      <c r="I24" s="62" t="inlineStr">
        <is>
          <t>AVG CTR %</t>
        </is>
      </c>
      <c r="J24" s="61" t="n"/>
      <c r="K24" s="61" t="n"/>
      <c r="M24" s="62" t="inlineStr">
        <is>
          <t>AVG UNSUB RATE %</t>
        </is>
      </c>
      <c r="N24" s="61" t="n"/>
      <c r="O24" s="61" t="n"/>
    </row>
    <row r="25" ht="28" customHeight="1">
      <c r="A25" s="63">
        <f>IFERROR(SUMIF('Email_Mktg'!$A:$A,$I$3,'Email_Mktg'!$D:$D),"–")</f>
        <v/>
      </c>
      <c r="B25" s="64" t="n"/>
      <c r="C25" s="64" t="n"/>
      <c r="E25" s="65">
        <f>IFERROR(AVERAGEIF('Email_Mktg'!$A:$A,$I$3,'Email_Mktg'!$H:$H),"–")</f>
        <v/>
      </c>
      <c r="F25" s="64" t="n"/>
      <c r="G25" s="64" t="n"/>
      <c r="I25" s="65">
        <f>IFERROR(AVERAGEIF('Email_Mktg'!$A:$A,$I$3,'Email_Mktg'!$J:$J),"–")</f>
        <v/>
      </c>
      <c r="J25" s="64" t="n"/>
      <c r="K25" s="64" t="n"/>
      <c r="M25" s="65">
        <f>IFERROR(AVERAGEIF('Email_Mktg'!$A:$A,$I$3,'Email_Mktg'!$L:$L),"–")</f>
        <v/>
      </c>
      <c r="N25" s="64" t="n"/>
      <c r="O25" s="64" t="n"/>
    </row>
    <row r="26" customHeight="1">
      <c r="A26" s="64" t="n"/>
      <c r="B26" s="64" t="n"/>
      <c r="C26" s="64" t="n"/>
      <c r="E26" s="64" t="n"/>
      <c r="F26" s="64" t="n"/>
      <c r="G26" s="64" t="n"/>
      <c r="I26" s="64" t="n"/>
      <c r="J26" s="64" t="n"/>
      <c r="K26" s="64" t="n"/>
      <c r="M26" s="64" t="n"/>
      <c r="N26" s="64" t="n"/>
      <c r="O26" s="64" t="n"/>
    </row>
    <row r="27" ht="14" customHeight="1">
      <c r="A27" s="66" t="inlineStr">
        <is>
          <t>Total sends this month</t>
        </is>
      </c>
      <c r="B27" s="64" t="n"/>
      <c r="C27" s="64" t="n"/>
      <c r="E27" s="66" t="inlineStr">
        <is>
          <t>Benchmark: 20–25%</t>
        </is>
      </c>
      <c r="F27" s="64" t="n"/>
      <c r="G27" s="64" t="n"/>
      <c r="I27" s="66" t="inlineStr">
        <is>
          <t>Benchmark: 2–5%</t>
        </is>
      </c>
      <c r="J27" s="64" t="n"/>
      <c r="K27" s="64" t="n"/>
      <c r="M27" s="66" t="inlineStr">
        <is>
          <t>Benchmark: &lt; 0.5%</t>
        </is>
      </c>
      <c r="N27" s="64" t="n"/>
      <c r="O27" s="64" t="n"/>
    </row>
    <row r="29" ht="24" customHeight="1">
      <c r="A29" s="67" t="inlineStr">
        <is>
          <t xml:space="preserve">  ✍  CONTENT &amp; PR  —  data from Content &amp; PR sheet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 ht="18" customHeight="1">
      <c r="A30" s="43" t="inlineStr">
        <is>
          <t>CONTENT PIECES</t>
        </is>
      </c>
      <c r="B30" s="2" t="n"/>
      <c r="C30" s="2" t="n"/>
      <c r="E30" s="43" t="inlineStr">
        <is>
          <t>PR MENTIONS</t>
        </is>
      </c>
      <c r="F30" s="2" t="n"/>
      <c r="G30" s="2" t="n"/>
      <c r="I30" s="43" t="inlineStr">
        <is>
          <t>EARNED MEDIA VALUE (R)</t>
        </is>
      </c>
      <c r="J30" s="2" t="n"/>
      <c r="K30" s="2" t="n"/>
      <c r="M30" s="43" t="inlineStr">
        <is>
          <t>INFLUENCER REACH</t>
        </is>
      </c>
      <c r="N30" s="2" t="n"/>
      <c r="O30" s="2" t="n"/>
    </row>
    <row r="31" ht="28" customHeight="1">
      <c r="A31" s="46">
        <f>IFERROR(SUMIF('Content_PR'!$A:$A,$I$3,'Content_PR'!$B:$B)+SUMIF('Content_PR'!$A:$A,$I$3,'Content_PR'!$C:$C)+SUMIF('Content_PR'!$A:$A,$I$3,'Content_PR'!$I:$I),"–")</f>
        <v/>
      </c>
      <c r="B31" s="18" t="n"/>
      <c r="C31" s="18" t="n"/>
      <c r="E31" s="46">
        <f>IFERROR(SUMIF('Content_PR'!$A:$A,$I$3,'Content_PR'!$E:$E),"–")</f>
        <v/>
      </c>
      <c r="F31" s="18" t="n"/>
      <c r="G31" s="18" t="n"/>
      <c r="I31" s="68">
        <f>IFERROR(SUMIF('Content_PR'!$A:$A,$I$3,'Content_PR'!$F:$F),"–")</f>
        <v/>
      </c>
      <c r="J31" s="18" t="n"/>
      <c r="K31" s="18" t="n"/>
      <c r="M31" s="46">
        <f>IFERROR(SUMIF('Content_PR'!$A:$A,$I$3,'Content_PR'!$H:$H),"–")</f>
        <v/>
      </c>
      <c r="N31" s="18" t="n"/>
      <c r="O31" s="18" t="n"/>
    </row>
    <row r="32" customHeight="1">
      <c r="A32" s="18" t="n"/>
      <c r="B32" s="18" t="n"/>
      <c r="C32" s="18" t="n"/>
      <c r="E32" s="18" t="n"/>
      <c r="F32" s="18" t="n"/>
      <c r="G32" s="18" t="n"/>
      <c r="I32" s="18" t="n"/>
      <c r="J32" s="18" t="n"/>
      <c r="K32" s="18" t="n"/>
      <c r="M32" s="18" t="n"/>
      <c r="N32" s="18" t="n"/>
      <c r="O32" s="18" t="n"/>
    </row>
    <row r="33" ht="14" customHeight="1">
      <c r="A33" s="49" t="inlineStr">
        <is>
          <t>Blogs + social + videos</t>
        </is>
      </c>
      <c r="B33" s="18" t="n"/>
      <c r="C33" s="18" t="n"/>
      <c r="E33" s="49" t="inlineStr">
        <is>
          <t>Earned media coverage</t>
        </is>
      </c>
      <c r="F33" s="18" t="n"/>
      <c r="G33" s="18" t="n"/>
      <c r="I33" s="49" t="inlineStr">
        <is>
          <t>Equivalent paid value</t>
        </is>
      </c>
      <c r="J33" s="18" t="n"/>
      <c r="K33" s="18" t="n"/>
      <c r="M33" s="49" t="inlineStr">
        <is>
          <t>Combined influencer reach</t>
        </is>
      </c>
      <c r="N33" s="18" t="n"/>
      <c r="O33" s="18" t="n"/>
    </row>
    <row r="35" ht="24" customHeight="1">
      <c r="A35" s="38" t="inlineStr">
        <is>
          <t xml:space="preserve">  🎯  CAMPAIGNS  —  data from Campaign Tracker sheet</t>
        </is>
      </c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</row>
    <row r="36" ht="18" customHeight="1">
      <c r="A36" s="69" t="inlineStr">
        <is>
          <t>ACTIVE CAMPAIGNS</t>
        </is>
      </c>
      <c r="B36" s="39" t="n"/>
      <c r="C36" s="39" t="n"/>
      <c r="E36" s="69" t="inlineStr">
        <is>
          <t>TOTAL BUDGET (R)
ALL CAMPAIGNS</t>
        </is>
      </c>
      <c r="F36" s="39" t="n"/>
      <c r="G36" s="39" t="n"/>
      <c r="I36" s="69" t="inlineStr">
        <is>
          <t>SPEND TO DATE (R)</t>
        </is>
      </c>
      <c r="J36" s="39" t="n"/>
      <c r="K36" s="39" t="n"/>
      <c r="M36" s="69" t="inlineStr">
        <is>
          <t>TOTAL LEADS /
CONVERSIONS</t>
        </is>
      </c>
      <c r="N36" s="39" t="n"/>
      <c r="O36" s="39" t="n"/>
    </row>
    <row r="37" ht="28" customHeight="1">
      <c r="A37" s="70">
        <f>IFERROR(COUNTIF('Campaigns'!$F:$F,"Active"),"–")</f>
        <v/>
      </c>
      <c r="B37" s="71" t="n"/>
      <c r="C37" s="71" t="n"/>
      <c r="E37" s="72">
        <f>IFERROR(SUM('Campaigns'!$G:$G),"–")</f>
        <v/>
      </c>
      <c r="F37" s="71" t="n"/>
      <c r="G37" s="71" t="n"/>
      <c r="I37" s="72">
        <f>IFERROR(SUM('Campaigns'!$H:$H),"–")</f>
        <v/>
      </c>
      <c r="J37" s="71" t="n"/>
      <c r="K37" s="71" t="n"/>
      <c r="M37" s="70">
        <f>IFERROR(SUM('Campaigns'!$P:$P),"–")</f>
        <v/>
      </c>
      <c r="N37" s="71" t="n"/>
      <c r="O37" s="71" t="n"/>
    </row>
    <row r="38" customHeight="1">
      <c r="A38" s="71" t="n"/>
      <c r="B38" s="71" t="n"/>
      <c r="C38" s="71" t="n"/>
      <c r="E38" s="71" t="n"/>
      <c r="F38" s="71" t="n"/>
      <c r="G38" s="71" t="n"/>
      <c r="I38" s="71" t="n"/>
      <c r="J38" s="71" t="n"/>
      <c r="K38" s="71" t="n"/>
      <c r="M38" s="71" t="n"/>
      <c r="N38" s="71" t="n"/>
      <c r="O38" s="71" t="n"/>
    </row>
    <row r="39" ht="14" customHeight="1">
      <c r="A39" s="73" t="inlineStr">
        <is>
          <t>Currently running</t>
        </is>
      </c>
      <c r="B39" s="71" t="n"/>
      <c r="C39" s="71" t="n"/>
      <c r="E39" s="73" t="inlineStr">
        <is>
          <t>All campaigns total</t>
        </is>
      </c>
      <c r="F39" s="71" t="n"/>
      <c r="G39" s="71" t="n"/>
      <c r="I39" s="73" t="inlineStr">
        <is>
          <t>All campaigns total</t>
        </is>
      </c>
      <c r="J39" s="71" t="n"/>
      <c r="K39" s="71" t="n"/>
      <c r="M39" s="73" t="inlineStr">
        <is>
          <t>All campaigns total</t>
        </is>
      </c>
      <c r="N39" s="71" t="n"/>
      <c r="O39" s="71" t="n"/>
    </row>
    <row r="41" ht="16" customHeight="1">
      <c r="A41" s="74" t="inlineStr">
        <is>
          <t xml:space="preserve">  Invegrow Foods Line  |  Marketing Dashboard  |  Auto-updates from data entry sheets  |  Last updated: select month above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</sheetData>
  <mergeCells count="83">
    <mergeCell ref="A41:R41"/>
    <mergeCell ref="A21:C21"/>
    <mergeCell ref="E15:G15"/>
    <mergeCell ref="M12:O12"/>
    <mergeCell ref="M21:O21"/>
    <mergeCell ref="E37:G38"/>
    <mergeCell ref="I24:K24"/>
    <mergeCell ref="A2:R2"/>
    <mergeCell ref="A17:R17"/>
    <mergeCell ref="M24:O24"/>
    <mergeCell ref="A7:C8"/>
    <mergeCell ref="A35:R35"/>
    <mergeCell ref="A3:H3"/>
    <mergeCell ref="M7:O8"/>
    <mergeCell ref="E19:G20"/>
    <mergeCell ref="E18:G18"/>
    <mergeCell ref="I36:K36"/>
    <mergeCell ref="A11:R11"/>
    <mergeCell ref="M9:O9"/>
    <mergeCell ref="A6:C6"/>
    <mergeCell ref="M39:O39"/>
    <mergeCell ref="I31:K32"/>
    <mergeCell ref="I12:K12"/>
    <mergeCell ref="E30:G30"/>
    <mergeCell ref="A12:C12"/>
    <mergeCell ref="I21:K21"/>
    <mergeCell ref="M6:O6"/>
    <mergeCell ref="E6:G6"/>
    <mergeCell ref="M15:O15"/>
    <mergeCell ref="M19:O20"/>
    <mergeCell ref="E13:G14"/>
    <mergeCell ref="J3:R3"/>
    <mergeCell ref="I7:K8"/>
    <mergeCell ref="M13:O14"/>
    <mergeCell ref="A15:C15"/>
    <mergeCell ref="A24:C24"/>
    <mergeCell ref="A37:C38"/>
    <mergeCell ref="E24:G24"/>
    <mergeCell ref="E31:G32"/>
    <mergeCell ref="E33:G33"/>
    <mergeCell ref="M37:O38"/>
    <mergeCell ref="I27:K27"/>
    <mergeCell ref="A1:R1"/>
    <mergeCell ref="I19:K20"/>
    <mergeCell ref="A19:C20"/>
    <mergeCell ref="A18:C18"/>
    <mergeCell ref="E9:G9"/>
    <mergeCell ref="E25:G26"/>
    <mergeCell ref="M30:O30"/>
    <mergeCell ref="M33:O33"/>
    <mergeCell ref="E36:G36"/>
    <mergeCell ref="I39:K39"/>
    <mergeCell ref="A23:R23"/>
    <mergeCell ref="E12:G12"/>
    <mergeCell ref="A30:C30"/>
    <mergeCell ref="E21:G21"/>
    <mergeCell ref="M25:O26"/>
    <mergeCell ref="I15:K15"/>
    <mergeCell ref="I37:K38"/>
    <mergeCell ref="A13:C14"/>
    <mergeCell ref="E7:G8"/>
    <mergeCell ref="A27:C27"/>
    <mergeCell ref="I18:K18"/>
    <mergeCell ref="A31:C32"/>
    <mergeCell ref="I33:K33"/>
    <mergeCell ref="A33:C33"/>
    <mergeCell ref="M27:O27"/>
    <mergeCell ref="E27:G27"/>
    <mergeCell ref="M36:O36"/>
    <mergeCell ref="M18:O18"/>
    <mergeCell ref="A5:R5"/>
    <mergeCell ref="A29:R29"/>
    <mergeCell ref="I9:K9"/>
    <mergeCell ref="A9:C9"/>
    <mergeCell ref="I25:K26"/>
    <mergeCell ref="A25:C26"/>
    <mergeCell ref="M31:O32"/>
    <mergeCell ref="A39:C39"/>
    <mergeCell ref="I30:K30"/>
    <mergeCell ref="I6:K6"/>
    <mergeCell ref="A36:C36"/>
    <mergeCell ref="E39:G39"/>
    <mergeCell ref="I13:K14"/>
  </mergeCells>
  <dataValidations count="1">
    <dataValidation sqref="I3" showDropDown="0" showInputMessage="0" showErrorMessage="0" allowBlank="1" type="list">
      <formula1>"Jan-25,Feb-25,Mar-25,Apr-25,May-25,Jun-25,Jul-25,Aug-25,Sep-25,Oct-25,Nov-25,Dec-25,Jan-26,Feb-26,Mar-26,Apr-26,May-26,Jun-26,Jul-26,Aug-26,Sep-26,Oct-26,Nov-26,Dec-26"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2" customWidth="1" min="4" max="4"/>
    <col width="12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4" customWidth="1" min="13" max="13"/>
    <col width="22" customWidth="1" min="14" max="14"/>
    <col width="30" customWidth="1" min="15" max="15"/>
  </cols>
  <sheetData>
    <row r="1" ht="42" customHeight="1">
      <c r="A1" s="75" t="inlineStr">
        <is>
          <t xml:space="preserve">   🌐  DIGITAL ANALYTICS  —  Website &amp; SEO Performance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22" customHeight="1">
      <c r="A2" s="37" t="inlineStr">
        <is>
          <t>Monthly website performance data. Sources: Google Analytics / GA4, Google Search Console, CMS dashboards.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 ht="16" customHeight="1">
      <c r="A3" s="76" t="inlineStr">
        <is>
          <t>INVEGROW  |  Foods Line Marketing  |  Bounce Rate &amp; Conversion Rate: enter as a number e.g. 45.2 (meaning 45.2%)  |  Session Duration: minutes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20" customHeight="1">
      <c r="A4" s="77" t="inlineStr">
        <is>
          <t>⚡  Yellow cells = required entry.  All traffic columns = number of sessions from that source.  Totals row auto-calculates.</t>
        </is>
      </c>
      <c r="B4" s="78" t="n"/>
      <c r="C4" s="78" t="n"/>
      <c r="D4" s="78" t="n"/>
      <c r="E4" s="78" t="n"/>
      <c r="F4" s="78" t="n"/>
      <c r="G4" s="78" t="n"/>
      <c r="H4" s="78" t="n"/>
      <c r="I4" s="78" t="n"/>
      <c r="J4" s="78" t="n"/>
      <c r="K4" s="78" t="n"/>
      <c r="L4" s="78" t="n"/>
      <c r="M4" s="78" t="n"/>
      <c r="N4" s="78" t="n"/>
      <c r="O4" s="78" t="n"/>
    </row>
    <row r="5" ht="40" customHeight="1">
      <c r="A5" s="79" t="inlineStr">
        <is>
          <t>PERIOD</t>
        </is>
      </c>
      <c r="B5" s="80" t="inlineStr">
        <is>
          <t>OVERALL TRAFFIC</t>
        </is>
      </c>
      <c r="C5" s="2" t="n"/>
      <c r="D5" s="2" t="n"/>
      <c r="E5" s="81" t="inlineStr">
        <is>
          <t>ENGAGEMENT</t>
        </is>
      </c>
      <c r="F5" s="8" t="n"/>
      <c r="G5" s="82" t="inlineStr">
        <is>
          <t>TRAFFIC SOURCES</t>
        </is>
      </c>
      <c r="H5" s="10" t="n"/>
      <c r="I5" s="10" t="n"/>
      <c r="J5" s="10" t="n"/>
      <c r="K5" s="10" t="n"/>
      <c r="L5" s="83" t="inlineStr">
        <is>
          <t>CONVERSIONS</t>
        </is>
      </c>
      <c r="M5" s="27" t="n"/>
      <c r="N5" s="84" t="inlineStr">
        <is>
          <t>MKTG CHANNEL NOTE</t>
        </is>
      </c>
      <c r="O5" s="84" t="inlineStr">
        <is>
          <t>NOTES</t>
        </is>
      </c>
    </row>
    <row r="6" ht="38" customHeight="1">
      <c r="A6" s="85" t="inlineStr">
        <is>
          <t>MONTH</t>
        </is>
      </c>
      <c r="B6" s="86" t="inlineStr">
        <is>
          <t>SESSIONS</t>
        </is>
      </c>
      <c r="C6" s="86" t="inlineStr">
        <is>
          <t>UNIQUE
VISITORS</t>
        </is>
      </c>
      <c r="D6" s="86" t="inlineStr">
        <is>
          <t>PAGE
VIEWS</t>
        </is>
      </c>
      <c r="E6" s="87" t="inlineStr">
        <is>
          <t>BOUNCE
RATE %</t>
        </is>
      </c>
      <c r="F6" s="87" t="inlineStr">
        <is>
          <t>AVG SESSION
DURATION (min)</t>
        </is>
      </c>
      <c r="G6" s="88" t="inlineStr">
        <is>
          <t>ORGANIC
TRAFFIC</t>
        </is>
      </c>
      <c r="H6" s="88" t="inlineStr">
        <is>
          <t>PAID
TRAFFIC</t>
        </is>
      </c>
      <c r="I6" s="88" t="inlineStr">
        <is>
          <t>SOCIAL
TRAFFIC</t>
        </is>
      </c>
      <c r="J6" s="88" t="inlineStr">
        <is>
          <t>DIRECT
TRAFFIC</t>
        </is>
      </c>
      <c r="K6" s="88" t="inlineStr">
        <is>
          <t>OTHER
TRAFFIC</t>
        </is>
      </c>
      <c r="L6" s="89" t="inlineStr">
        <is>
          <t>GOAL
COMPLETIONS</t>
        </is>
      </c>
      <c r="M6" s="89" t="inlineStr">
        <is>
          <t>CONVERSION
RATE %</t>
        </is>
      </c>
      <c r="N6" s="90" t="inlineStr">
        <is>
          <t>MAIN CHANNEL
FOCUS THIS MONTH</t>
        </is>
      </c>
      <c r="O6" s="90" t="inlineStr">
        <is>
          <t>NOTES</t>
        </is>
      </c>
    </row>
    <row r="7" ht="18" customHeight="1">
      <c r="A7" s="91" t="inlineStr">
        <is>
          <t>Jan-25</t>
        </is>
      </c>
      <c r="B7" s="92" t="n"/>
      <c r="C7" s="92" t="n"/>
      <c r="D7" s="92" t="n"/>
      <c r="E7" s="93" t="n"/>
      <c r="F7" s="94" t="n"/>
      <c r="G7" s="92" t="n"/>
      <c r="H7" s="92" t="n"/>
      <c r="I7" s="92" t="n"/>
      <c r="J7" s="92" t="n"/>
      <c r="K7" s="92" t="n"/>
      <c r="L7" s="92" t="n"/>
      <c r="M7" s="94" t="n"/>
      <c r="N7" s="95" t="n"/>
      <c r="O7" s="95" t="n"/>
    </row>
    <row r="8" ht="18" customHeight="1">
      <c r="A8" s="91" t="inlineStr">
        <is>
          <t>Feb-25</t>
        </is>
      </c>
      <c r="B8" s="96" t="n"/>
      <c r="C8" s="96" t="n"/>
      <c r="D8" s="96" t="n"/>
      <c r="E8" s="97" t="n"/>
      <c r="F8" s="98" t="n"/>
      <c r="G8" s="96" t="n"/>
      <c r="H8" s="96" t="n"/>
      <c r="I8" s="96" t="n"/>
      <c r="J8" s="96" t="n"/>
      <c r="K8" s="96" t="n"/>
      <c r="L8" s="96" t="n"/>
      <c r="M8" s="98" t="n"/>
      <c r="N8" s="99" t="n"/>
      <c r="O8" s="99" t="n"/>
    </row>
    <row r="9" ht="18" customHeight="1">
      <c r="A9" s="91" t="inlineStr">
        <is>
          <t>Mar-25</t>
        </is>
      </c>
      <c r="B9" s="92" t="n"/>
      <c r="C9" s="92" t="n"/>
      <c r="D9" s="92" t="n"/>
      <c r="E9" s="93" t="n"/>
      <c r="F9" s="94" t="n"/>
      <c r="G9" s="92" t="n"/>
      <c r="H9" s="92" t="n"/>
      <c r="I9" s="92" t="n"/>
      <c r="J9" s="92" t="n"/>
      <c r="K9" s="92" t="n"/>
      <c r="L9" s="92" t="n"/>
      <c r="M9" s="94" t="n"/>
      <c r="N9" s="95" t="n"/>
      <c r="O9" s="95" t="n"/>
    </row>
    <row r="10" ht="18" customHeight="1">
      <c r="A10" s="91" t="inlineStr">
        <is>
          <t>Apr-25</t>
        </is>
      </c>
      <c r="B10" s="96" t="n"/>
      <c r="C10" s="96" t="n"/>
      <c r="D10" s="96" t="n"/>
      <c r="E10" s="97" t="n"/>
      <c r="F10" s="98" t="n"/>
      <c r="G10" s="96" t="n"/>
      <c r="H10" s="96" t="n"/>
      <c r="I10" s="96" t="n"/>
      <c r="J10" s="96" t="n"/>
      <c r="K10" s="96" t="n"/>
      <c r="L10" s="96" t="n"/>
      <c r="M10" s="98" t="n"/>
      <c r="N10" s="99" t="n"/>
      <c r="O10" s="99" t="n"/>
    </row>
    <row r="11" ht="18" customHeight="1">
      <c r="A11" s="91" t="inlineStr">
        <is>
          <t>May-25</t>
        </is>
      </c>
      <c r="B11" s="92" t="n"/>
      <c r="C11" s="92" t="n"/>
      <c r="D11" s="92" t="n"/>
      <c r="E11" s="93" t="n"/>
      <c r="F11" s="94" t="n"/>
      <c r="G11" s="92" t="n"/>
      <c r="H11" s="92" t="n"/>
      <c r="I11" s="92" t="n"/>
      <c r="J11" s="92" t="n"/>
      <c r="K11" s="92" t="n"/>
      <c r="L11" s="92" t="n"/>
      <c r="M11" s="94" t="n"/>
      <c r="N11" s="95" t="n"/>
      <c r="O11" s="95" t="n"/>
    </row>
    <row r="12" ht="18" customHeight="1">
      <c r="A12" s="91" t="inlineStr">
        <is>
          <t>Jun-25</t>
        </is>
      </c>
      <c r="B12" s="96" t="n"/>
      <c r="C12" s="96" t="n"/>
      <c r="D12" s="96" t="n"/>
      <c r="E12" s="97" t="n"/>
      <c r="F12" s="98" t="n"/>
      <c r="G12" s="96" t="n"/>
      <c r="H12" s="96" t="n"/>
      <c r="I12" s="96" t="n"/>
      <c r="J12" s="96" t="n"/>
      <c r="K12" s="96" t="n"/>
      <c r="L12" s="96" t="n"/>
      <c r="M12" s="98" t="n"/>
      <c r="N12" s="99" t="n"/>
      <c r="O12" s="99" t="n"/>
    </row>
    <row r="13" ht="18" customHeight="1">
      <c r="A13" s="91" t="inlineStr">
        <is>
          <t>Jul-25</t>
        </is>
      </c>
      <c r="B13" s="92" t="n"/>
      <c r="C13" s="92" t="n"/>
      <c r="D13" s="92" t="n"/>
      <c r="E13" s="93" t="n"/>
      <c r="F13" s="94" t="n"/>
      <c r="G13" s="92" t="n"/>
      <c r="H13" s="92" t="n"/>
      <c r="I13" s="92" t="n"/>
      <c r="J13" s="92" t="n"/>
      <c r="K13" s="92" t="n"/>
      <c r="L13" s="92" t="n"/>
      <c r="M13" s="94" t="n"/>
      <c r="N13" s="95" t="n"/>
      <c r="O13" s="95" t="n"/>
    </row>
    <row r="14" ht="18" customHeight="1">
      <c r="A14" s="91" t="inlineStr">
        <is>
          <t>Aug-25</t>
        </is>
      </c>
      <c r="B14" s="96" t="n"/>
      <c r="C14" s="96" t="n"/>
      <c r="D14" s="96" t="n"/>
      <c r="E14" s="97" t="n"/>
      <c r="F14" s="98" t="n"/>
      <c r="G14" s="96" t="n"/>
      <c r="H14" s="96" t="n"/>
      <c r="I14" s="96" t="n"/>
      <c r="J14" s="96" t="n"/>
      <c r="K14" s="96" t="n"/>
      <c r="L14" s="96" t="n"/>
      <c r="M14" s="98" t="n"/>
      <c r="N14" s="99" t="n"/>
      <c r="O14" s="99" t="n"/>
    </row>
    <row r="15" ht="18" customHeight="1">
      <c r="A15" s="91" t="inlineStr">
        <is>
          <t>Sep-25</t>
        </is>
      </c>
      <c r="B15" s="92" t="n"/>
      <c r="C15" s="92" t="n"/>
      <c r="D15" s="92" t="n"/>
      <c r="E15" s="93" t="n"/>
      <c r="F15" s="94" t="n"/>
      <c r="G15" s="92" t="n"/>
      <c r="H15" s="92" t="n"/>
      <c r="I15" s="92" t="n"/>
      <c r="J15" s="92" t="n"/>
      <c r="K15" s="92" t="n"/>
      <c r="L15" s="92" t="n"/>
      <c r="M15" s="94" t="n"/>
      <c r="N15" s="95" t="n"/>
      <c r="O15" s="95" t="n"/>
    </row>
    <row r="16" ht="18" customHeight="1">
      <c r="A16" s="91" t="inlineStr">
        <is>
          <t>Oct-25</t>
        </is>
      </c>
      <c r="B16" s="96" t="n"/>
      <c r="C16" s="96" t="n"/>
      <c r="D16" s="96" t="n"/>
      <c r="E16" s="97" t="n"/>
      <c r="F16" s="98" t="n"/>
      <c r="G16" s="96" t="n"/>
      <c r="H16" s="96" t="n"/>
      <c r="I16" s="96" t="n"/>
      <c r="J16" s="96" t="n"/>
      <c r="K16" s="96" t="n"/>
      <c r="L16" s="96" t="n"/>
      <c r="M16" s="98" t="n"/>
      <c r="N16" s="99" t="n"/>
      <c r="O16" s="99" t="n"/>
    </row>
    <row r="17" ht="18" customHeight="1">
      <c r="A17" s="91" t="inlineStr">
        <is>
          <t>Nov-25</t>
        </is>
      </c>
      <c r="B17" s="92" t="n"/>
      <c r="C17" s="92" t="n"/>
      <c r="D17" s="92" t="n"/>
      <c r="E17" s="93" t="n"/>
      <c r="F17" s="94" t="n"/>
      <c r="G17" s="92" t="n"/>
      <c r="H17" s="92" t="n"/>
      <c r="I17" s="92" t="n"/>
      <c r="J17" s="92" t="n"/>
      <c r="K17" s="92" t="n"/>
      <c r="L17" s="92" t="n"/>
      <c r="M17" s="94" t="n"/>
      <c r="N17" s="95" t="n"/>
      <c r="O17" s="95" t="n"/>
    </row>
    <row r="18" ht="18" customHeight="1">
      <c r="A18" s="91" t="inlineStr">
        <is>
          <t>Dec-25</t>
        </is>
      </c>
      <c r="B18" s="96" t="n"/>
      <c r="C18" s="96" t="n"/>
      <c r="D18" s="96" t="n"/>
      <c r="E18" s="97" t="n"/>
      <c r="F18" s="98" t="n"/>
      <c r="G18" s="96" t="n"/>
      <c r="H18" s="96" t="n"/>
      <c r="I18" s="96" t="n"/>
      <c r="J18" s="96" t="n"/>
      <c r="K18" s="96" t="n"/>
      <c r="L18" s="96" t="n"/>
      <c r="M18" s="98" t="n"/>
      <c r="N18" s="99" t="n"/>
      <c r="O18" s="99" t="n"/>
    </row>
    <row r="19" ht="18" customHeight="1">
      <c r="A19" s="91" t="inlineStr">
        <is>
          <t>Jan-26</t>
        </is>
      </c>
      <c r="B19" s="92" t="n"/>
      <c r="C19" s="92" t="n"/>
      <c r="D19" s="92" t="n"/>
      <c r="E19" s="93" t="n"/>
      <c r="F19" s="94" t="n"/>
      <c r="G19" s="92" t="n"/>
      <c r="H19" s="92" t="n"/>
      <c r="I19" s="92" t="n"/>
      <c r="J19" s="92" t="n"/>
      <c r="K19" s="92" t="n"/>
      <c r="L19" s="92" t="n"/>
      <c r="M19" s="94" t="n"/>
      <c r="N19" s="95" t="n"/>
      <c r="O19" s="95" t="n"/>
    </row>
    <row r="20" ht="18" customHeight="1">
      <c r="A20" s="91" t="inlineStr">
        <is>
          <t>Feb-26</t>
        </is>
      </c>
      <c r="B20" s="96" t="n"/>
      <c r="C20" s="96" t="n"/>
      <c r="D20" s="96" t="n"/>
      <c r="E20" s="97" t="n"/>
      <c r="F20" s="98" t="n"/>
      <c r="G20" s="96" t="n"/>
      <c r="H20" s="96" t="n"/>
      <c r="I20" s="96" t="n"/>
      <c r="J20" s="96" t="n"/>
      <c r="K20" s="96" t="n"/>
      <c r="L20" s="96" t="n"/>
      <c r="M20" s="98" t="n"/>
      <c r="N20" s="99" t="n"/>
      <c r="O20" s="99" t="n"/>
    </row>
    <row r="21" ht="18" customHeight="1">
      <c r="A21" s="91" t="inlineStr">
        <is>
          <t>Mar-26</t>
        </is>
      </c>
      <c r="B21" s="92" t="n"/>
      <c r="C21" s="92" t="n"/>
      <c r="D21" s="92" t="n"/>
      <c r="E21" s="93" t="n"/>
      <c r="F21" s="94" t="n"/>
      <c r="G21" s="92" t="n"/>
      <c r="H21" s="92" t="n"/>
      <c r="I21" s="92" t="n"/>
      <c r="J21" s="92" t="n"/>
      <c r="K21" s="92" t="n"/>
      <c r="L21" s="92" t="n"/>
      <c r="M21" s="94" t="n"/>
      <c r="N21" s="95" t="n"/>
      <c r="O21" s="95" t="n"/>
    </row>
    <row r="22" ht="18" customHeight="1">
      <c r="A22" s="91" t="inlineStr">
        <is>
          <t>Apr-26</t>
        </is>
      </c>
      <c r="B22" s="96" t="n"/>
      <c r="C22" s="96" t="n"/>
      <c r="D22" s="96" t="n"/>
      <c r="E22" s="97" t="n"/>
      <c r="F22" s="98" t="n"/>
      <c r="G22" s="96" t="n"/>
      <c r="H22" s="96" t="n"/>
      <c r="I22" s="96" t="n"/>
      <c r="J22" s="96" t="n"/>
      <c r="K22" s="96" t="n"/>
      <c r="L22" s="96" t="n"/>
      <c r="M22" s="98" t="n"/>
      <c r="N22" s="99" t="n"/>
      <c r="O22" s="99" t="n"/>
    </row>
    <row r="23" ht="18" customHeight="1">
      <c r="A23" s="91" t="inlineStr">
        <is>
          <t>May-26</t>
        </is>
      </c>
      <c r="B23" s="92" t="n"/>
      <c r="C23" s="92" t="n"/>
      <c r="D23" s="92" t="n"/>
      <c r="E23" s="93" t="n"/>
      <c r="F23" s="94" t="n"/>
      <c r="G23" s="92" t="n"/>
      <c r="H23" s="92" t="n"/>
      <c r="I23" s="92" t="n"/>
      <c r="J23" s="92" t="n"/>
      <c r="K23" s="92" t="n"/>
      <c r="L23" s="92" t="n"/>
      <c r="M23" s="94" t="n"/>
      <c r="N23" s="95" t="n"/>
      <c r="O23" s="95" t="n"/>
    </row>
    <row r="24" ht="18" customHeight="1">
      <c r="A24" s="91" t="inlineStr">
        <is>
          <t>Jun-26</t>
        </is>
      </c>
      <c r="B24" s="96" t="n"/>
      <c r="C24" s="96" t="n"/>
      <c r="D24" s="96" t="n"/>
      <c r="E24" s="97" t="n"/>
      <c r="F24" s="98" t="n"/>
      <c r="G24" s="96" t="n"/>
      <c r="H24" s="96" t="n"/>
      <c r="I24" s="96" t="n"/>
      <c r="J24" s="96" t="n"/>
      <c r="K24" s="96" t="n"/>
      <c r="L24" s="96" t="n"/>
      <c r="M24" s="98" t="n"/>
      <c r="N24" s="99" t="n"/>
      <c r="O24" s="99" t="n"/>
    </row>
    <row r="25" ht="18" customHeight="1">
      <c r="A25" s="91" t="inlineStr">
        <is>
          <t>Jul-26</t>
        </is>
      </c>
      <c r="B25" s="92" t="n"/>
      <c r="C25" s="92" t="n"/>
      <c r="D25" s="92" t="n"/>
      <c r="E25" s="93" t="n"/>
      <c r="F25" s="94" t="n"/>
      <c r="G25" s="92" t="n"/>
      <c r="H25" s="92" t="n"/>
      <c r="I25" s="92" t="n"/>
      <c r="J25" s="92" t="n"/>
      <c r="K25" s="92" t="n"/>
      <c r="L25" s="92" t="n"/>
      <c r="M25" s="94" t="n"/>
      <c r="N25" s="95" t="n"/>
      <c r="O25" s="95" t="n"/>
    </row>
    <row r="26" ht="18" customHeight="1">
      <c r="A26" s="91" t="inlineStr">
        <is>
          <t>Aug-26</t>
        </is>
      </c>
      <c r="B26" s="96" t="n"/>
      <c r="C26" s="96" t="n"/>
      <c r="D26" s="96" t="n"/>
      <c r="E26" s="97" t="n"/>
      <c r="F26" s="98" t="n"/>
      <c r="G26" s="96" t="n"/>
      <c r="H26" s="96" t="n"/>
      <c r="I26" s="96" t="n"/>
      <c r="J26" s="96" t="n"/>
      <c r="K26" s="96" t="n"/>
      <c r="L26" s="96" t="n"/>
      <c r="M26" s="98" t="n"/>
      <c r="N26" s="99" t="n"/>
      <c r="O26" s="99" t="n"/>
    </row>
    <row r="27" ht="18" customHeight="1">
      <c r="A27" s="91" t="inlineStr">
        <is>
          <t>Sep-26</t>
        </is>
      </c>
      <c r="B27" s="92" t="n"/>
      <c r="C27" s="92" t="n"/>
      <c r="D27" s="92" t="n"/>
      <c r="E27" s="93" t="n"/>
      <c r="F27" s="94" t="n"/>
      <c r="G27" s="92" t="n"/>
      <c r="H27" s="92" t="n"/>
      <c r="I27" s="92" t="n"/>
      <c r="J27" s="92" t="n"/>
      <c r="K27" s="92" t="n"/>
      <c r="L27" s="92" t="n"/>
      <c r="M27" s="94" t="n"/>
      <c r="N27" s="95" t="n"/>
      <c r="O27" s="95" t="n"/>
    </row>
    <row r="28" ht="18" customHeight="1">
      <c r="A28" s="91" t="inlineStr">
        <is>
          <t>Oct-26</t>
        </is>
      </c>
      <c r="B28" s="96" t="n"/>
      <c r="C28" s="96" t="n"/>
      <c r="D28" s="96" t="n"/>
      <c r="E28" s="97" t="n"/>
      <c r="F28" s="98" t="n"/>
      <c r="G28" s="96" t="n"/>
      <c r="H28" s="96" t="n"/>
      <c r="I28" s="96" t="n"/>
      <c r="J28" s="96" t="n"/>
      <c r="K28" s="96" t="n"/>
      <c r="L28" s="96" t="n"/>
      <c r="M28" s="98" t="n"/>
      <c r="N28" s="99" t="n"/>
      <c r="O28" s="99" t="n"/>
    </row>
    <row r="29" ht="18" customHeight="1">
      <c r="A29" s="91" t="inlineStr">
        <is>
          <t>Nov-26</t>
        </is>
      </c>
      <c r="B29" s="92" t="n"/>
      <c r="C29" s="92" t="n"/>
      <c r="D29" s="92" t="n"/>
      <c r="E29" s="93" t="n"/>
      <c r="F29" s="94" t="n"/>
      <c r="G29" s="92" t="n"/>
      <c r="H29" s="92" t="n"/>
      <c r="I29" s="92" t="n"/>
      <c r="J29" s="92" t="n"/>
      <c r="K29" s="92" t="n"/>
      <c r="L29" s="92" t="n"/>
      <c r="M29" s="94" t="n"/>
      <c r="N29" s="95" t="n"/>
      <c r="O29" s="95" t="n"/>
    </row>
    <row r="30" ht="18" customHeight="1">
      <c r="A30" s="91" t="inlineStr">
        <is>
          <t>Dec-26</t>
        </is>
      </c>
      <c r="B30" s="96" t="n"/>
      <c r="C30" s="96" t="n"/>
      <c r="D30" s="96" t="n"/>
      <c r="E30" s="97" t="n"/>
      <c r="F30" s="98" t="n"/>
      <c r="G30" s="96" t="n"/>
      <c r="H30" s="96" t="n"/>
      <c r="I30" s="96" t="n"/>
      <c r="J30" s="96" t="n"/>
      <c r="K30" s="96" t="n"/>
      <c r="L30" s="96" t="n"/>
      <c r="M30" s="98" t="n"/>
      <c r="N30" s="99" t="n"/>
      <c r="O30" s="99" t="n"/>
    </row>
    <row r="31" ht="22" customHeight="1">
      <c r="A31" s="80" t="inlineStr">
        <is>
          <t>TOTALS / AVG</t>
        </is>
      </c>
      <c r="B31" s="100">
        <f>SUM(B7:B30)</f>
        <v/>
      </c>
      <c r="C31" s="100">
        <f>SUM(C7:C30)</f>
        <v/>
      </c>
      <c r="D31" s="100">
        <f>SUM(D7:D30)</f>
        <v/>
      </c>
      <c r="E31" s="101">
        <f>IFERROR(AVERAGEIF(E7:E30,"&lt;&gt;"),"–")</f>
        <v/>
      </c>
      <c r="F31" s="101">
        <f>IFERROR(AVERAGEIF(F7:F30,"&lt;&gt;"),"–")</f>
        <v/>
      </c>
      <c r="G31" s="100">
        <f>SUM(G7:G30)</f>
        <v/>
      </c>
      <c r="H31" s="100">
        <f>SUM(H7:H30)</f>
        <v/>
      </c>
      <c r="I31" s="100">
        <f>SUM(I7:I30)</f>
        <v/>
      </c>
      <c r="J31" s="100">
        <f>SUM(J7:J30)</f>
        <v/>
      </c>
      <c r="K31" s="100">
        <f>SUM(K7:K30)</f>
        <v/>
      </c>
      <c r="L31" s="100">
        <f>SUM(L7:L30)</f>
        <v/>
      </c>
      <c r="M31" s="101">
        <f>IFERROR(AVERAGEIF(M7:M30,"&lt;&gt;"),"–")</f>
        <v/>
      </c>
    </row>
  </sheetData>
  <mergeCells count="12">
    <mergeCell ref="A31"/>
    <mergeCell ref="A3:O3"/>
    <mergeCell ref="B5:D5"/>
    <mergeCell ref="A2:O2"/>
    <mergeCell ref="A1:O1"/>
    <mergeCell ref="E5:F5"/>
    <mergeCell ref="G5:K5"/>
    <mergeCell ref="L5:M5"/>
    <mergeCell ref="O5"/>
    <mergeCell ref="A4:O4"/>
    <mergeCell ref="A5"/>
    <mergeCell ref="N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4" customWidth="1" min="3" max="3"/>
    <col width="13" customWidth="1" min="4" max="4"/>
    <col width="11" customWidth="1" min="5" max="5"/>
    <col width="14" customWidth="1" min="6" max="6"/>
    <col width="13" customWidth="1" min="7" max="7"/>
    <col width="14" customWidth="1" min="8" max="8"/>
    <col width="10" customWidth="1" min="9" max="9"/>
    <col width="11" customWidth="1" min="10" max="10"/>
    <col width="10" customWidth="1" min="11" max="11"/>
    <col width="10" customWidth="1" min="12" max="12"/>
    <col width="14" customWidth="1" min="13" max="13"/>
    <col width="22" customWidth="1" min="14" max="14"/>
    <col width="30" customWidth="1" min="15" max="15"/>
  </cols>
  <sheetData>
    <row r="1" ht="42" customHeight="1">
      <c r="A1" s="102" t="inlineStr">
        <is>
          <t xml:space="preserve">   📱  SOCIAL MEDIA  —  Platform Performance by Month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22" customHeight="1">
      <c r="A2" s="103" t="inlineStr">
        <is>
          <t>One row per platform per month. Track each platform separately for accurate channel comparison.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</row>
    <row r="3" ht="16" customHeight="1">
      <c r="A3" s="76" t="inlineStr">
        <is>
          <t>INVEGROW  |  Foods Line Marketing  |  Engagement Rate %: (Likes+Comments+Shares+Saves) ÷ Reach × 100  |  Enter follower count at END of month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20" customHeight="1">
      <c r="A4" s="77" t="inlineStr">
        <is>
          <t>⚡  Select Month and Platform from dropdowns.  Engagement Rate auto-calculates if you enter the component metrics.</t>
        </is>
      </c>
      <c r="B4" s="78" t="n"/>
      <c r="C4" s="78" t="n"/>
      <c r="D4" s="78" t="n"/>
      <c r="E4" s="78" t="n"/>
      <c r="F4" s="78" t="n"/>
      <c r="G4" s="78" t="n"/>
      <c r="H4" s="78" t="n"/>
      <c r="I4" s="78" t="n"/>
      <c r="J4" s="78" t="n"/>
      <c r="K4" s="78" t="n"/>
      <c r="L4" s="78" t="n"/>
      <c r="M4" s="78" t="n"/>
      <c r="N4" s="78" t="n"/>
      <c r="O4" s="78" t="n"/>
    </row>
    <row r="5" ht="38" customHeight="1">
      <c r="A5" s="85" t="inlineStr">
        <is>
          <t>MONTH</t>
        </is>
      </c>
      <c r="B5" s="87" t="inlineStr">
        <is>
          <t>PLATFORM</t>
        </is>
      </c>
      <c r="C5" s="87" t="inlineStr">
        <is>
          <t>FOLLOWERS
(END MO.)</t>
        </is>
      </c>
      <c r="D5" s="87" t="inlineStr">
        <is>
          <t>NEW
FOLLOWERS</t>
        </is>
      </c>
      <c r="E5" s="104" t="inlineStr">
        <is>
          <t>POSTS
PUBLISHED</t>
        </is>
      </c>
      <c r="F5" s="88" t="inlineStr">
        <is>
          <t>TOTAL
IMPRESSIONS</t>
        </is>
      </c>
      <c r="G5" s="88" t="inlineStr">
        <is>
          <t>TOTAL
REACH</t>
        </is>
      </c>
      <c r="H5" s="86" t="inlineStr">
        <is>
          <t>TOTAL
ENGAGEMENTS</t>
        </is>
      </c>
      <c r="I5" s="86" t="inlineStr">
        <is>
          <t>LIKES</t>
        </is>
      </c>
      <c r="J5" s="86" t="inlineStr">
        <is>
          <t>COMMENTS</t>
        </is>
      </c>
      <c r="K5" s="86" t="inlineStr">
        <is>
          <t>SHARES</t>
        </is>
      </c>
      <c r="L5" s="86" t="inlineStr">
        <is>
          <t>SAVES</t>
        </is>
      </c>
      <c r="M5" s="89" t="inlineStr">
        <is>
          <t>ENGAGEMENT
RATE %</t>
        </is>
      </c>
      <c r="N5" s="90" t="inlineStr">
        <is>
          <t>TOP PERFORMING
CONTENT TYPE</t>
        </is>
      </c>
      <c r="O5" s="90" t="inlineStr">
        <is>
          <t>NOTES</t>
        </is>
      </c>
    </row>
    <row r="6" ht="18" customHeight="1">
      <c r="A6" s="91" t="inlineStr">
        <is>
          <t>Jan-25</t>
        </is>
      </c>
      <c r="B6" s="105" t="inlineStr">
        <is>
          <t>Instagram</t>
        </is>
      </c>
      <c r="C6" s="92" t="n"/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106">
        <f>IFERROR((I6+J6+K6+L6)/G6*100,"")</f>
        <v/>
      </c>
      <c r="N6" s="95" t="n"/>
      <c r="O6" s="95" t="n"/>
    </row>
    <row r="7" ht="18" customHeight="1">
      <c r="A7" s="91" t="inlineStr">
        <is>
          <t>Jan-25</t>
        </is>
      </c>
      <c r="B7" s="105" t="inlineStr">
        <is>
          <t>Facebook</t>
        </is>
      </c>
      <c r="C7" s="96" t="n"/>
      <c r="D7" s="96" t="n"/>
      <c r="E7" s="96" t="n"/>
      <c r="F7" s="96" t="n"/>
      <c r="G7" s="96" t="n"/>
      <c r="H7" s="96" t="n"/>
      <c r="I7" s="96" t="n"/>
      <c r="J7" s="96" t="n"/>
      <c r="K7" s="96" t="n"/>
      <c r="L7" s="96" t="n"/>
      <c r="M7" s="106">
        <f>IFERROR((I7+J7+K7+L7)/G7*100,"")</f>
        <v/>
      </c>
      <c r="N7" s="99" t="n"/>
      <c r="O7" s="99" t="n"/>
    </row>
    <row r="8" ht="18" customHeight="1">
      <c r="A8" s="91" t="inlineStr">
        <is>
          <t>Jan-25</t>
        </is>
      </c>
      <c r="B8" s="105" t="inlineStr">
        <is>
          <t>TikTok</t>
        </is>
      </c>
      <c r="C8" s="92" t="n"/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106">
        <f>IFERROR((I8+J8+K8+L8)/G8*100,"")</f>
        <v/>
      </c>
      <c r="N8" s="95" t="n"/>
      <c r="O8" s="95" t="n"/>
    </row>
    <row r="9" ht="18" customHeight="1">
      <c r="A9" s="91" t="inlineStr">
        <is>
          <t>Jan-25</t>
        </is>
      </c>
      <c r="B9" s="105" t="inlineStr">
        <is>
          <t>YouTube</t>
        </is>
      </c>
      <c r="C9" s="96" t="n"/>
      <c r="D9" s="96" t="n"/>
      <c r="E9" s="96" t="n"/>
      <c r="F9" s="96" t="n"/>
      <c r="G9" s="96" t="n"/>
      <c r="H9" s="96" t="n"/>
      <c r="I9" s="96" t="n"/>
      <c r="J9" s="96" t="n"/>
      <c r="K9" s="96" t="n"/>
      <c r="L9" s="96" t="n"/>
      <c r="M9" s="106">
        <f>IFERROR((I9+J9+K9+L9)/G9*100,"")</f>
        <v/>
      </c>
      <c r="N9" s="99" t="n"/>
      <c r="O9" s="99" t="n"/>
    </row>
    <row r="10" ht="18" customHeight="1">
      <c r="A10" s="91" t="inlineStr">
        <is>
          <t>Jan-25</t>
        </is>
      </c>
      <c r="B10" s="105" t="inlineStr">
        <is>
          <t>LinkedIn</t>
        </is>
      </c>
      <c r="C10" s="92" t="n"/>
      <c r="D10" s="92" t="n"/>
      <c r="E10" s="92" t="n"/>
      <c r="F10" s="92" t="n"/>
      <c r="G10" s="92" t="n"/>
      <c r="H10" s="92" t="n"/>
      <c r="I10" s="92" t="n"/>
      <c r="J10" s="92" t="n"/>
      <c r="K10" s="92" t="n"/>
      <c r="L10" s="92" t="n"/>
      <c r="M10" s="106">
        <f>IFERROR((I10+J10+K10+L10)/G10*100,"")</f>
        <v/>
      </c>
      <c r="N10" s="95" t="n"/>
      <c r="O10" s="95" t="n"/>
    </row>
    <row r="11" ht="18" customHeight="1">
      <c r="A11" s="91" t="inlineStr">
        <is>
          <t>Jan-25</t>
        </is>
      </c>
      <c r="B11" s="105" t="inlineStr">
        <is>
          <t>Twitter/X</t>
        </is>
      </c>
      <c r="C11" s="96" t="n"/>
      <c r="D11" s="96" t="n"/>
      <c r="E11" s="96" t="n"/>
      <c r="F11" s="96" t="n"/>
      <c r="G11" s="96" t="n"/>
      <c r="H11" s="96" t="n"/>
      <c r="I11" s="96" t="n"/>
      <c r="J11" s="96" t="n"/>
      <c r="K11" s="96" t="n"/>
      <c r="L11" s="96" t="n"/>
      <c r="M11" s="106">
        <f>IFERROR((I11+J11+K11+L11)/G11*100,"")</f>
        <v/>
      </c>
      <c r="N11" s="99" t="n"/>
      <c r="O11" s="99" t="n"/>
    </row>
    <row r="12" ht="18" customHeight="1">
      <c r="A12" s="91" t="inlineStr">
        <is>
          <t>Feb-25</t>
        </is>
      </c>
      <c r="B12" s="105" t="inlineStr">
        <is>
          <t>Instagram</t>
        </is>
      </c>
      <c r="C12" s="92" t="n"/>
      <c r="D12" s="92" t="n"/>
      <c r="E12" s="92" t="n"/>
      <c r="F12" s="92" t="n"/>
      <c r="G12" s="92" t="n"/>
      <c r="H12" s="92" t="n"/>
      <c r="I12" s="92" t="n"/>
      <c r="J12" s="92" t="n"/>
      <c r="K12" s="92" t="n"/>
      <c r="L12" s="92" t="n"/>
      <c r="M12" s="106">
        <f>IFERROR((I12+J12+K12+L12)/G12*100,"")</f>
        <v/>
      </c>
      <c r="N12" s="95" t="n"/>
      <c r="O12" s="95" t="n"/>
    </row>
    <row r="13" ht="18" customHeight="1">
      <c r="A13" s="91" t="inlineStr">
        <is>
          <t>Feb-25</t>
        </is>
      </c>
      <c r="B13" s="105" t="inlineStr">
        <is>
          <t>Facebook</t>
        </is>
      </c>
      <c r="C13" s="96" t="n"/>
      <c r="D13" s="96" t="n"/>
      <c r="E13" s="96" t="n"/>
      <c r="F13" s="96" t="n"/>
      <c r="G13" s="96" t="n"/>
      <c r="H13" s="96" t="n"/>
      <c r="I13" s="96" t="n"/>
      <c r="J13" s="96" t="n"/>
      <c r="K13" s="96" t="n"/>
      <c r="L13" s="96" t="n"/>
      <c r="M13" s="106">
        <f>IFERROR((I13+J13+K13+L13)/G13*100,"")</f>
        <v/>
      </c>
      <c r="N13" s="99" t="n"/>
      <c r="O13" s="99" t="n"/>
    </row>
    <row r="14" ht="18" customHeight="1">
      <c r="A14" s="91" t="inlineStr">
        <is>
          <t>Feb-25</t>
        </is>
      </c>
      <c r="B14" s="105" t="inlineStr">
        <is>
          <t>TikTok</t>
        </is>
      </c>
      <c r="C14" s="92" t="n"/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106">
        <f>IFERROR((I14+J14+K14+L14)/G14*100,"")</f>
        <v/>
      </c>
      <c r="N14" s="95" t="n"/>
      <c r="O14" s="95" t="n"/>
    </row>
    <row r="15" ht="18" customHeight="1">
      <c r="A15" s="91" t="inlineStr">
        <is>
          <t>Feb-25</t>
        </is>
      </c>
      <c r="B15" s="105" t="inlineStr">
        <is>
          <t>YouTube</t>
        </is>
      </c>
      <c r="C15" s="96" t="n"/>
      <c r="D15" s="96" t="n"/>
      <c r="E15" s="96" t="n"/>
      <c r="F15" s="96" t="n"/>
      <c r="G15" s="96" t="n"/>
      <c r="H15" s="96" t="n"/>
      <c r="I15" s="96" t="n"/>
      <c r="J15" s="96" t="n"/>
      <c r="K15" s="96" t="n"/>
      <c r="L15" s="96" t="n"/>
      <c r="M15" s="106">
        <f>IFERROR((I15+J15+K15+L15)/G15*100,"")</f>
        <v/>
      </c>
      <c r="N15" s="99" t="n"/>
      <c r="O15" s="99" t="n"/>
    </row>
    <row r="16" ht="18" customHeight="1">
      <c r="A16" s="91" t="inlineStr">
        <is>
          <t>Feb-25</t>
        </is>
      </c>
      <c r="B16" s="105" t="inlineStr">
        <is>
          <t>LinkedIn</t>
        </is>
      </c>
      <c r="C16" s="92" t="n"/>
      <c r="D16" s="92" t="n"/>
      <c r="E16" s="92" t="n"/>
      <c r="F16" s="92" t="n"/>
      <c r="G16" s="92" t="n"/>
      <c r="H16" s="92" t="n"/>
      <c r="I16" s="92" t="n"/>
      <c r="J16" s="92" t="n"/>
      <c r="K16" s="92" t="n"/>
      <c r="L16" s="92" t="n"/>
      <c r="M16" s="106">
        <f>IFERROR((I16+J16+K16+L16)/G16*100,"")</f>
        <v/>
      </c>
      <c r="N16" s="95" t="n"/>
      <c r="O16" s="95" t="n"/>
    </row>
    <row r="17" ht="18" customHeight="1">
      <c r="A17" s="91" t="inlineStr">
        <is>
          <t>Feb-25</t>
        </is>
      </c>
      <c r="B17" s="105" t="inlineStr">
        <is>
          <t>Twitter/X</t>
        </is>
      </c>
      <c r="C17" s="96" t="n"/>
      <c r="D17" s="96" t="n"/>
      <c r="E17" s="96" t="n"/>
      <c r="F17" s="96" t="n"/>
      <c r="G17" s="96" t="n"/>
      <c r="H17" s="96" t="n"/>
      <c r="I17" s="96" t="n"/>
      <c r="J17" s="96" t="n"/>
      <c r="K17" s="96" t="n"/>
      <c r="L17" s="96" t="n"/>
      <c r="M17" s="106">
        <f>IFERROR((I17+J17+K17+L17)/G17*100,"")</f>
        <v/>
      </c>
      <c r="N17" s="99" t="n"/>
      <c r="O17" s="99" t="n"/>
    </row>
    <row r="18" ht="18" customHeight="1">
      <c r="A18" s="91" t="inlineStr">
        <is>
          <t>Mar-25</t>
        </is>
      </c>
      <c r="B18" s="105" t="inlineStr">
        <is>
          <t>Instagram</t>
        </is>
      </c>
      <c r="C18" s="92" t="n"/>
      <c r="D18" s="92" t="n"/>
      <c r="E18" s="92" t="n"/>
      <c r="F18" s="92" t="n"/>
      <c r="G18" s="92" t="n"/>
      <c r="H18" s="92" t="n"/>
      <c r="I18" s="92" t="n"/>
      <c r="J18" s="92" t="n"/>
      <c r="K18" s="92" t="n"/>
      <c r="L18" s="92" t="n"/>
      <c r="M18" s="106">
        <f>IFERROR((I18+J18+K18+L18)/G18*100,"")</f>
        <v/>
      </c>
      <c r="N18" s="95" t="n"/>
      <c r="O18" s="95" t="n"/>
    </row>
    <row r="19" ht="18" customHeight="1">
      <c r="A19" s="91" t="inlineStr">
        <is>
          <t>Mar-25</t>
        </is>
      </c>
      <c r="B19" s="105" t="inlineStr">
        <is>
          <t>Facebook</t>
        </is>
      </c>
      <c r="C19" s="96" t="n"/>
      <c r="D19" s="96" t="n"/>
      <c r="E19" s="96" t="n"/>
      <c r="F19" s="96" t="n"/>
      <c r="G19" s="96" t="n"/>
      <c r="H19" s="96" t="n"/>
      <c r="I19" s="96" t="n"/>
      <c r="J19" s="96" t="n"/>
      <c r="K19" s="96" t="n"/>
      <c r="L19" s="96" t="n"/>
      <c r="M19" s="106">
        <f>IFERROR((I19+J19+K19+L19)/G19*100,"")</f>
        <v/>
      </c>
      <c r="N19" s="99" t="n"/>
      <c r="O19" s="99" t="n"/>
    </row>
    <row r="20" ht="18" customHeight="1">
      <c r="A20" s="91" t="inlineStr">
        <is>
          <t>Mar-25</t>
        </is>
      </c>
      <c r="B20" s="105" t="inlineStr">
        <is>
          <t>TikTok</t>
        </is>
      </c>
      <c r="C20" s="92" t="n"/>
      <c r="D20" s="92" t="n"/>
      <c r="E20" s="92" t="n"/>
      <c r="F20" s="92" t="n"/>
      <c r="G20" s="92" t="n"/>
      <c r="H20" s="92" t="n"/>
      <c r="I20" s="92" t="n"/>
      <c r="J20" s="92" t="n"/>
      <c r="K20" s="92" t="n"/>
      <c r="L20" s="92" t="n"/>
      <c r="M20" s="106">
        <f>IFERROR((I20+J20+K20+L20)/G20*100,"")</f>
        <v/>
      </c>
      <c r="N20" s="95" t="n"/>
      <c r="O20" s="95" t="n"/>
    </row>
    <row r="21" ht="18" customHeight="1">
      <c r="A21" s="91" t="inlineStr">
        <is>
          <t>Mar-25</t>
        </is>
      </c>
      <c r="B21" s="105" t="inlineStr">
        <is>
          <t>YouTube</t>
        </is>
      </c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106">
        <f>IFERROR((I21+J21+K21+L21)/G21*100,"")</f>
        <v/>
      </c>
      <c r="N21" s="99" t="n"/>
      <c r="O21" s="99" t="n"/>
    </row>
    <row r="22" ht="18" customHeight="1">
      <c r="A22" s="91" t="inlineStr">
        <is>
          <t>Mar-25</t>
        </is>
      </c>
      <c r="B22" s="105" t="inlineStr">
        <is>
          <t>LinkedIn</t>
        </is>
      </c>
      <c r="C22" s="92" t="n"/>
      <c r="D22" s="92" t="n"/>
      <c r="E22" s="92" t="n"/>
      <c r="F22" s="92" t="n"/>
      <c r="G22" s="92" t="n"/>
      <c r="H22" s="92" t="n"/>
      <c r="I22" s="92" t="n"/>
      <c r="J22" s="92" t="n"/>
      <c r="K22" s="92" t="n"/>
      <c r="L22" s="92" t="n"/>
      <c r="M22" s="106">
        <f>IFERROR((I22+J22+K22+L22)/G22*100,"")</f>
        <v/>
      </c>
      <c r="N22" s="95" t="n"/>
      <c r="O22" s="95" t="n"/>
    </row>
    <row r="23" ht="18" customHeight="1">
      <c r="A23" s="91" t="inlineStr">
        <is>
          <t>Mar-25</t>
        </is>
      </c>
      <c r="B23" s="105" t="inlineStr">
        <is>
          <t>Twitter/X</t>
        </is>
      </c>
      <c r="C23" s="96" t="n"/>
      <c r="D23" s="96" t="n"/>
      <c r="E23" s="96" t="n"/>
      <c r="F23" s="96" t="n"/>
      <c r="G23" s="96" t="n"/>
      <c r="H23" s="96" t="n"/>
      <c r="I23" s="96" t="n"/>
      <c r="J23" s="96" t="n"/>
      <c r="K23" s="96" t="n"/>
      <c r="L23" s="96" t="n"/>
      <c r="M23" s="106">
        <f>IFERROR((I23+J23+K23+L23)/G23*100,"")</f>
        <v/>
      </c>
      <c r="N23" s="99" t="n"/>
      <c r="O23" s="99" t="n"/>
    </row>
    <row r="24" ht="18" customHeight="1">
      <c r="A24" s="91" t="inlineStr">
        <is>
          <t>Apr-25</t>
        </is>
      </c>
      <c r="B24" s="105" t="inlineStr">
        <is>
          <t>Instagram</t>
        </is>
      </c>
      <c r="C24" s="92" t="n"/>
      <c r="D24" s="92" t="n"/>
      <c r="E24" s="92" t="n"/>
      <c r="F24" s="92" t="n"/>
      <c r="G24" s="92" t="n"/>
      <c r="H24" s="92" t="n"/>
      <c r="I24" s="92" t="n"/>
      <c r="J24" s="92" t="n"/>
      <c r="K24" s="92" t="n"/>
      <c r="L24" s="92" t="n"/>
      <c r="M24" s="106">
        <f>IFERROR((I24+J24+K24+L24)/G24*100,"")</f>
        <v/>
      </c>
      <c r="N24" s="95" t="n"/>
      <c r="O24" s="95" t="n"/>
    </row>
    <row r="25" ht="18" customHeight="1">
      <c r="A25" s="91" t="inlineStr">
        <is>
          <t>Apr-25</t>
        </is>
      </c>
      <c r="B25" s="105" t="inlineStr">
        <is>
          <t>Facebook</t>
        </is>
      </c>
      <c r="C25" s="96" t="n"/>
      <c r="D25" s="96" t="n"/>
      <c r="E25" s="96" t="n"/>
      <c r="F25" s="96" t="n"/>
      <c r="G25" s="96" t="n"/>
      <c r="H25" s="96" t="n"/>
      <c r="I25" s="96" t="n"/>
      <c r="J25" s="96" t="n"/>
      <c r="K25" s="96" t="n"/>
      <c r="L25" s="96" t="n"/>
      <c r="M25" s="106">
        <f>IFERROR((I25+J25+K25+L25)/G25*100,"")</f>
        <v/>
      </c>
      <c r="N25" s="99" t="n"/>
      <c r="O25" s="99" t="n"/>
    </row>
    <row r="26" ht="18" customHeight="1">
      <c r="A26" s="91" t="inlineStr">
        <is>
          <t>Apr-25</t>
        </is>
      </c>
      <c r="B26" s="105" t="inlineStr">
        <is>
          <t>TikTok</t>
        </is>
      </c>
      <c r="C26" s="92" t="n"/>
      <c r="D26" s="92" t="n"/>
      <c r="E26" s="92" t="n"/>
      <c r="F26" s="92" t="n"/>
      <c r="G26" s="92" t="n"/>
      <c r="H26" s="92" t="n"/>
      <c r="I26" s="92" t="n"/>
      <c r="J26" s="92" t="n"/>
      <c r="K26" s="92" t="n"/>
      <c r="L26" s="92" t="n"/>
      <c r="M26" s="106">
        <f>IFERROR((I26+J26+K26+L26)/G26*100,"")</f>
        <v/>
      </c>
      <c r="N26" s="95" t="n"/>
      <c r="O26" s="95" t="n"/>
    </row>
    <row r="27" ht="18" customHeight="1">
      <c r="A27" s="91" t="inlineStr">
        <is>
          <t>Apr-25</t>
        </is>
      </c>
      <c r="B27" s="105" t="inlineStr">
        <is>
          <t>YouTube</t>
        </is>
      </c>
      <c r="C27" s="96" t="n"/>
      <c r="D27" s="96" t="n"/>
      <c r="E27" s="96" t="n"/>
      <c r="F27" s="96" t="n"/>
      <c r="G27" s="96" t="n"/>
      <c r="H27" s="96" t="n"/>
      <c r="I27" s="96" t="n"/>
      <c r="J27" s="96" t="n"/>
      <c r="K27" s="96" t="n"/>
      <c r="L27" s="96" t="n"/>
      <c r="M27" s="106">
        <f>IFERROR((I27+J27+K27+L27)/G27*100,"")</f>
        <v/>
      </c>
      <c r="N27" s="99" t="n"/>
      <c r="O27" s="99" t="n"/>
    </row>
    <row r="28" ht="18" customHeight="1">
      <c r="A28" s="91" t="inlineStr">
        <is>
          <t>Apr-25</t>
        </is>
      </c>
      <c r="B28" s="105" t="inlineStr">
        <is>
          <t>LinkedIn</t>
        </is>
      </c>
      <c r="C28" s="92" t="n"/>
      <c r="D28" s="92" t="n"/>
      <c r="E28" s="92" t="n"/>
      <c r="F28" s="92" t="n"/>
      <c r="G28" s="92" t="n"/>
      <c r="H28" s="92" t="n"/>
      <c r="I28" s="92" t="n"/>
      <c r="J28" s="92" t="n"/>
      <c r="K28" s="92" t="n"/>
      <c r="L28" s="92" t="n"/>
      <c r="M28" s="106">
        <f>IFERROR((I28+J28+K28+L28)/G28*100,"")</f>
        <v/>
      </c>
      <c r="N28" s="95" t="n"/>
      <c r="O28" s="95" t="n"/>
    </row>
    <row r="29" ht="18" customHeight="1">
      <c r="A29" s="91" t="inlineStr">
        <is>
          <t>Apr-25</t>
        </is>
      </c>
      <c r="B29" s="105" t="inlineStr">
        <is>
          <t>Twitter/X</t>
        </is>
      </c>
      <c r="C29" s="96" t="n"/>
      <c r="D29" s="96" t="n"/>
      <c r="E29" s="96" t="n"/>
      <c r="F29" s="96" t="n"/>
      <c r="G29" s="96" t="n"/>
      <c r="H29" s="96" t="n"/>
      <c r="I29" s="96" t="n"/>
      <c r="J29" s="96" t="n"/>
      <c r="K29" s="96" t="n"/>
      <c r="L29" s="96" t="n"/>
      <c r="M29" s="106">
        <f>IFERROR((I29+J29+K29+L29)/G29*100,"")</f>
        <v/>
      </c>
      <c r="N29" s="99" t="n"/>
      <c r="O29" s="99" t="n"/>
    </row>
    <row r="30" ht="18" customHeight="1">
      <c r="A30" s="91" t="inlineStr">
        <is>
          <t>May-25</t>
        </is>
      </c>
      <c r="B30" s="105" t="inlineStr">
        <is>
          <t>Instagram</t>
        </is>
      </c>
      <c r="C30" s="92" t="n"/>
      <c r="D30" s="92" t="n"/>
      <c r="E30" s="92" t="n"/>
      <c r="F30" s="92" t="n"/>
      <c r="G30" s="92" t="n"/>
      <c r="H30" s="92" t="n"/>
      <c r="I30" s="92" t="n"/>
      <c r="J30" s="92" t="n"/>
      <c r="K30" s="92" t="n"/>
      <c r="L30" s="92" t="n"/>
      <c r="M30" s="106">
        <f>IFERROR((I30+J30+K30+L30)/G30*100,"")</f>
        <v/>
      </c>
      <c r="N30" s="95" t="n"/>
      <c r="O30" s="95" t="n"/>
    </row>
    <row r="31" ht="18" customHeight="1">
      <c r="A31" s="91" t="inlineStr">
        <is>
          <t>May-25</t>
        </is>
      </c>
      <c r="B31" s="105" t="inlineStr">
        <is>
          <t>Facebook</t>
        </is>
      </c>
      <c r="C31" s="96" t="n"/>
      <c r="D31" s="96" t="n"/>
      <c r="E31" s="96" t="n"/>
      <c r="F31" s="96" t="n"/>
      <c r="G31" s="96" t="n"/>
      <c r="H31" s="96" t="n"/>
      <c r="I31" s="96" t="n"/>
      <c r="J31" s="96" t="n"/>
      <c r="K31" s="96" t="n"/>
      <c r="L31" s="96" t="n"/>
      <c r="M31" s="106">
        <f>IFERROR((I31+J31+K31+L31)/G31*100,"")</f>
        <v/>
      </c>
      <c r="N31" s="99" t="n"/>
      <c r="O31" s="99" t="n"/>
    </row>
    <row r="32" ht="18" customHeight="1">
      <c r="A32" s="91" t="inlineStr">
        <is>
          <t>May-25</t>
        </is>
      </c>
      <c r="B32" s="105" t="inlineStr">
        <is>
          <t>TikTok</t>
        </is>
      </c>
      <c r="C32" s="92" t="n"/>
      <c r="D32" s="92" t="n"/>
      <c r="E32" s="92" t="n"/>
      <c r="F32" s="92" t="n"/>
      <c r="G32" s="92" t="n"/>
      <c r="H32" s="92" t="n"/>
      <c r="I32" s="92" t="n"/>
      <c r="J32" s="92" t="n"/>
      <c r="K32" s="92" t="n"/>
      <c r="L32" s="92" t="n"/>
      <c r="M32" s="106">
        <f>IFERROR((I32+J32+K32+L32)/G32*100,"")</f>
        <v/>
      </c>
      <c r="N32" s="95" t="n"/>
      <c r="O32" s="95" t="n"/>
    </row>
    <row r="33" ht="18" customHeight="1">
      <c r="A33" s="91" t="inlineStr">
        <is>
          <t>May-25</t>
        </is>
      </c>
      <c r="B33" s="105" t="inlineStr">
        <is>
          <t>YouTube</t>
        </is>
      </c>
      <c r="C33" s="96" t="n"/>
      <c r="D33" s="96" t="n"/>
      <c r="E33" s="96" t="n"/>
      <c r="F33" s="96" t="n"/>
      <c r="G33" s="96" t="n"/>
      <c r="H33" s="96" t="n"/>
      <c r="I33" s="96" t="n"/>
      <c r="J33" s="96" t="n"/>
      <c r="K33" s="96" t="n"/>
      <c r="L33" s="96" t="n"/>
      <c r="M33" s="106">
        <f>IFERROR((I33+J33+K33+L33)/G33*100,"")</f>
        <v/>
      </c>
      <c r="N33" s="99" t="n"/>
      <c r="O33" s="99" t="n"/>
    </row>
    <row r="34" ht="18" customHeight="1">
      <c r="A34" s="91" t="inlineStr">
        <is>
          <t>May-25</t>
        </is>
      </c>
      <c r="B34" s="105" t="inlineStr">
        <is>
          <t>LinkedIn</t>
        </is>
      </c>
      <c r="C34" s="92" t="n"/>
      <c r="D34" s="92" t="n"/>
      <c r="E34" s="92" t="n"/>
      <c r="F34" s="92" t="n"/>
      <c r="G34" s="92" t="n"/>
      <c r="H34" s="92" t="n"/>
      <c r="I34" s="92" t="n"/>
      <c r="J34" s="92" t="n"/>
      <c r="K34" s="92" t="n"/>
      <c r="L34" s="92" t="n"/>
      <c r="M34" s="106">
        <f>IFERROR((I34+J34+K34+L34)/G34*100,"")</f>
        <v/>
      </c>
      <c r="N34" s="95" t="n"/>
      <c r="O34" s="95" t="n"/>
    </row>
    <row r="35" ht="18" customHeight="1">
      <c r="A35" s="91" t="inlineStr">
        <is>
          <t>May-25</t>
        </is>
      </c>
      <c r="B35" s="105" t="inlineStr">
        <is>
          <t>Twitter/X</t>
        </is>
      </c>
      <c r="C35" s="96" t="n"/>
      <c r="D35" s="96" t="n"/>
      <c r="E35" s="96" t="n"/>
      <c r="F35" s="96" t="n"/>
      <c r="G35" s="96" t="n"/>
      <c r="H35" s="96" t="n"/>
      <c r="I35" s="96" t="n"/>
      <c r="J35" s="96" t="n"/>
      <c r="K35" s="96" t="n"/>
      <c r="L35" s="96" t="n"/>
      <c r="M35" s="106">
        <f>IFERROR((I35+J35+K35+L35)/G35*100,"")</f>
        <v/>
      </c>
      <c r="N35" s="99" t="n"/>
      <c r="O35" s="99" t="n"/>
    </row>
    <row r="36" ht="18" customHeight="1">
      <c r="A36" s="91" t="inlineStr">
        <is>
          <t>Jun-25</t>
        </is>
      </c>
      <c r="B36" s="105" t="inlineStr">
        <is>
          <t>Instagram</t>
        </is>
      </c>
      <c r="C36" s="92" t="n"/>
      <c r="D36" s="92" t="n"/>
      <c r="E36" s="92" t="n"/>
      <c r="F36" s="92" t="n"/>
      <c r="G36" s="92" t="n"/>
      <c r="H36" s="92" t="n"/>
      <c r="I36" s="92" t="n"/>
      <c r="J36" s="92" t="n"/>
      <c r="K36" s="92" t="n"/>
      <c r="L36" s="92" t="n"/>
      <c r="M36" s="106">
        <f>IFERROR((I36+J36+K36+L36)/G36*100,"")</f>
        <v/>
      </c>
      <c r="N36" s="95" t="n"/>
      <c r="O36" s="95" t="n"/>
    </row>
    <row r="37" ht="18" customHeight="1">
      <c r="A37" s="91" t="inlineStr">
        <is>
          <t>Jun-25</t>
        </is>
      </c>
      <c r="B37" s="105" t="inlineStr">
        <is>
          <t>Facebook</t>
        </is>
      </c>
      <c r="C37" s="96" t="n"/>
      <c r="D37" s="96" t="n"/>
      <c r="E37" s="96" t="n"/>
      <c r="F37" s="96" t="n"/>
      <c r="G37" s="96" t="n"/>
      <c r="H37" s="96" t="n"/>
      <c r="I37" s="96" t="n"/>
      <c r="J37" s="96" t="n"/>
      <c r="K37" s="96" t="n"/>
      <c r="L37" s="96" t="n"/>
      <c r="M37" s="106">
        <f>IFERROR((I37+J37+K37+L37)/G37*100,"")</f>
        <v/>
      </c>
      <c r="N37" s="99" t="n"/>
      <c r="O37" s="99" t="n"/>
    </row>
    <row r="38" ht="18" customHeight="1">
      <c r="A38" s="91" t="inlineStr">
        <is>
          <t>Jun-25</t>
        </is>
      </c>
      <c r="B38" s="105" t="inlineStr">
        <is>
          <t>TikTok</t>
        </is>
      </c>
      <c r="C38" s="92" t="n"/>
      <c r="D38" s="92" t="n"/>
      <c r="E38" s="92" t="n"/>
      <c r="F38" s="92" t="n"/>
      <c r="G38" s="92" t="n"/>
      <c r="H38" s="92" t="n"/>
      <c r="I38" s="92" t="n"/>
      <c r="J38" s="92" t="n"/>
      <c r="K38" s="92" t="n"/>
      <c r="L38" s="92" t="n"/>
      <c r="M38" s="106">
        <f>IFERROR((I38+J38+K38+L38)/G38*100,"")</f>
        <v/>
      </c>
      <c r="N38" s="95" t="n"/>
      <c r="O38" s="95" t="n"/>
    </row>
    <row r="39" ht="18" customHeight="1">
      <c r="A39" s="91" t="inlineStr">
        <is>
          <t>Jun-25</t>
        </is>
      </c>
      <c r="B39" s="105" t="inlineStr">
        <is>
          <t>YouTube</t>
        </is>
      </c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106">
        <f>IFERROR((I39+J39+K39+L39)/G39*100,"")</f>
        <v/>
      </c>
      <c r="N39" s="99" t="n"/>
      <c r="O39" s="99" t="n"/>
    </row>
    <row r="40" ht="18" customHeight="1">
      <c r="A40" s="91" t="inlineStr">
        <is>
          <t>Jun-25</t>
        </is>
      </c>
      <c r="B40" s="105" t="inlineStr">
        <is>
          <t>LinkedIn</t>
        </is>
      </c>
      <c r="C40" s="92" t="n"/>
      <c r="D40" s="92" t="n"/>
      <c r="E40" s="92" t="n"/>
      <c r="F40" s="92" t="n"/>
      <c r="G40" s="92" t="n"/>
      <c r="H40" s="92" t="n"/>
      <c r="I40" s="92" t="n"/>
      <c r="J40" s="92" t="n"/>
      <c r="K40" s="92" t="n"/>
      <c r="L40" s="92" t="n"/>
      <c r="M40" s="106">
        <f>IFERROR((I40+J40+K40+L40)/G40*100,"")</f>
        <v/>
      </c>
      <c r="N40" s="95" t="n"/>
      <c r="O40" s="95" t="n"/>
    </row>
    <row r="41" ht="18" customHeight="1">
      <c r="A41" s="91" t="inlineStr">
        <is>
          <t>Jun-25</t>
        </is>
      </c>
      <c r="B41" s="105" t="inlineStr">
        <is>
          <t>Twitter/X</t>
        </is>
      </c>
      <c r="C41" s="96" t="n"/>
      <c r="D41" s="96" t="n"/>
      <c r="E41" s="96" t="n"/>
      <c r="F41" s="96" t="n"/>
      <c r="G41" s="96" t="n"/>
      <c r="H41" s="96" t="n"/>
      <c r="I41" s="96" t="n"/>
      <c r="J41" s="96" t="n"/>
      <c r="K41" s="96" t="n"/>
      <c r="L41" s="96" t="n"/>
      <c r="M41" s="106">
        <f>IFERROR((I41+J41+K41+L41)/G41*100,"")</f>
        <v/>
      </c>
      <c r="N41" s="99" t="n"/>
      <c r="O41" s="99" t="n"/>
    </row>
    <row r="42" ht="18" customHeight="1">
      <c r="A42" s="91" t="inlineStr">
        <is>
          <t>Jul-25</t>
        </is>
      </c>
      <c r="B42" s="105" t="inlineStr">
        <is>
          <t>Instagram</t>
        </is>
      </c>
      <c r="C42" s="92" t="n"/>
      <c r="D42" s="92" t="n"/>
      <c r="E42" s="92" t="n"/>
      <c r="F42" s="92" t="n"/>
      <c r="G42" s="92" t="n"/>
      <c r="H42" s="92" t="n"/>
      <c r="I42" s="92" t="n"/>
      <c r="J42" s="92" t="n"/>
      <c r="K42" s="92" t="n"/>
      <c r="L42" s="92" t="n"/>
      <c r="M42" s="106">
        <f>IFERROR((I42+J42+K42+L42)/G42*100,"")</f>
        <v/>
      </c>
      <c r="N42" s="95" t="n"/>
      <c r="O42" s="95" t="n"/>
    </row>
    <row r="43" ht="18" customHeight="1">
      <c r="A43" s="91" t="inlineStr">
        <is>
          <t>Jul-25</t>
        </is>
      </c>
      <c r="B43" s="105" t="inlineStr">
        <is>
          <t>Facebook</t>
        </is>
      </c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106">
        <f>IFERROR((I43+J43+K43+L43)/G43*100,"")</f>
        <v/>
      </c>
      <c r="N43" s="99" t="n"/>
      <c r="O43" s="99" t="n"/>
    </row>
    <row r="44" ht="18" customHeight="1">
      <c r="A44" s="91" t="inlineStr">
        <is>
          <t>Jul-25</t>
        </is>
      </c>
      <c r="B44" s="105" t="inlineStr">
        <is>
          <t>TikTok</t>
        </is>
      </c>
      <c r="C44" s="92" t="n"/>
      <c r="D44" s="92" t="n"/>
      <c r="E44" s="92" t="n"/>
      <c r="F44" s="92" t="n"/>
      <c r="G44" s="92" t="n"/>
      <c r="H44" s="92" t="n"/>
      <c r="I44" s="92" t="n"/>
      <c r="J44" s="92" t="n"/>
      <c r="K44" s="92" t="n"/>
      <c r="L44" s="92" t="n"/>
      <c r="M44" s="106">
        <f>IFERROR((I44+J44+K44+L44)/G44*100,"")</f>
        <v/>
      </c>
      <c r="N44" s="95" t="n"/>
      <c r="O44" s="95" t="n"/>
    </row>
    <row r="45" ht="18" customHeight="1">
      <c r="A45" s="91" t="inlineStr">
        <is>
          <t>Jul-25</t>
        </is>
      </c>
      <c r="B45" s="105" t="inlineStr">
        <is>
          <t>YouTube</t>
        </is>
      </c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106">
        <f>IFERROR((I45+J45+K45+L45)/G45*100,"")</f>
        <v/>
      </c>
      <c r="N45" s="99" t="n"/>
      <c r="O45" s="99" t="n"/>
    </row>
    <row r="46" ht="18" customHeight="1">
      <c r="A46" s="91" t="inlineStr">
        <is>
          <t>Jul-25</t>
        </is>
      </c>
      <c r="B46" s="105" t="inlineStr">
        <is>
          <t>LinkedIn</t>
        </is>
      </c>
      <c r="C46" s="92" t="n"/>
      <c r="D46" s="92" t="n"/>
      <c r="E46" s="92" t="n"/>
      <c r="F46" s="92" t="n"/>
      <c r="G46" s="92" t="n"/>
      <c r="H46" s="92" t="n"/>
      <c r="I46" s="92" t="n"/>
      <c r="J46" s="92" t="n"/>
      <c r="K46" s="92" t="n"/>
      <c r="L46" s="92" t="n"/>
      <c r="M46" s="106">
        <f>IFERROR((I46+J46+K46+L46)/G46*100,"")</f>
        <v/>
      </c>
      <c r="N46" s="95" t="n"/>
      <c r="O46" s="95" t="n"/>
    </row>
    <row r="47" ht="18" customHeight="1">
      <c r="A47" s="91" t="inlineStr">
        <is>
          <t>Jul-25</t>
        </is>
      </c>
      <c r="B47" s="105" t="inlineStr">
        <is>
          <t>Twitter/X</t>
        </is>
      </c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106">
        <f>IFERROR((I47+J47+K47+L47)/G47*100,"")</f>
        <v/>
      </c>
      <c r="N47" s="99" t="n"/>
      <c r="O47" s="99" t="n"/>
    </row>
    <row r="48" ht="18" customHeight="1">
      <c r="A48" s="91" t="inlineStr">
        <is>
          <t>Aug-25</t>
        </is>
      </c>
      <c r="B48" s="105" t="inlineStr">
        <is>
          <t>Instagram</t>
        </is>
      </c>
      <c r="C48" s="92" t="n"/>
      <c r="D48" s="92" t="n"/>
      <c r="E48" s="92" t="n"/>
      <c r="F48" s="92" t="n"/>
      <c r="G48" s="92" t="n"/>
      <c r="H48" s="92" t="n"/>
      <c r="I48" s="92" t="n"/>
      <c r="J48" s="92" t="n"/>
      <c r="K48" s="92" t="n"/>
      <c r="L48" s="92" t="n"/>
      <c r="M48" s="106">
        <f>IFERROR((I48+J48+K48+L48)/G48*100,"")</f>
        <v/>
      </c>
      <c r="N48" s="95" t="n"/>
      <c r="O48" s="95" t="n"/>
    </row>
    <row r="49" ht="18" customHeight="1">
      <c r="A49" s="91" t="inlineStr">
        <is>
          <t>Aug-25</t>
        </is>
      </c>
      <c r="B49" s="105" t="inlineStr">
        <is>
          <t>Facebook</t>
        </is>
      </c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106">
        <f>IFERROR((I49+J49+K49+L49)/G49*100,"")</f>
        <v/>
      </c>
      <c r="N49" s="99" t="n"/>
      <c r="O49" s="99" t="n"/>
    </row>
    <row r="50" ht="18" customHeight="1">
      <c r="A50" s="91" t="inlineStr">
        <is>
          <t>Aug-25</t>
        </is>
      </c>
      <c r="B50" s="105" t="inlineStr">
        <is>
          <t>TikTok</t>
        </is>
      </c>
      <c r="C50" s="92" t="n"/>
      <c r="D50" s="92" t="n"/>
      <c r="E50" s="92" t="n"/>
      <c r="F50" s="92" t="n"/>
      <c r="G50" s="92" t="n"/>
      <c r="H50" s="92" t="n"/>
      <c r="I50" s="92" t="n"/>
      <c r="J50" s="92" t="n"/>
      <c r="K50" s="92" t="n"/>
      <c r="L50" s="92" t="n"/>
      <c r="M50" s="106">
        <f>IFERROR((I50+J50+K50+L50)/G50*100,"")</f>
        <v/>
      </c>
      <c r="N50" s="95" t="n"/>
      <c r="O50" s="95" t="n"/>
    </row>
    <row r="51" ht="18" customHeight="1">
      <c r="A51" s="91" t="inlineStr">
        <is>
          <t>Aug-25</t>
        </is>
      </c>
      <c r="B51" s="105" t="inlineStr">
        <is>
          <t>YouTube</t>
        </is>
      </c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106">
        <f>IFERROR((I51+J51+K51+L51)/G51*100,"")</f>
        <v/>
      </c>
      <c r="N51" s="99" t="n"/>
      <c r="O51" s="99" t="n"/>
    </row>
    <row r="52" ht="18" customHeight="1">
      <c r="A52" s="91" t="inlineStr">
        <is>
          <t>Aug-25</t>
        </is>
      </c>
      <c r="B52" s="105" t="inlineStr">
        <is>
          <t>LinkedIn</t>
        </is>
      </c>
      <c r="C52" s="92" t="n"/>
      <c r="D52" s="92" t="n"/>
      <c r="E52" s="92" t="n"/>
      <c r="F52" s="92" t="n"/>
      <c r="G52" s="92" t="n"/>
      <c r="H52" s="92" t="n"/>
      <c r="I52" s="92" t="n"/>
      <c r="J52" s="92" t="n"/>
      <c r="K52" s="92" t="n"/>
      <c r="L52" s="92" t="n"/>
      <c r="M52" s="106">
        <f>IFERROR((I52+J52+K52+L52)/G52*100,"")</f>
        <v/>
      </c>
      <c r="N52" s="95" t="n"/>
      <c r="O52" s="95" t="n"/>
    </row>
    <row r="53" ht="18" customHeight="1">
      <c r="A53" s="91" t="inlineStr">
        <is>
          <t>Aug-25</t>
        </is>
      </c>
      <c r="B53" s="105" t="inlineStr">
        <is>
          <t>Twitter/X</t>
        </is>
      </c>
      <c r="C53" s="96" t="n"/>
      <c r="D53" s="96" t="n"/>
      <c r="E53" s="96" t="n"/>
      <c r="F53" s="96" t="n"/>
      <c r="G53" s="96" t="n"/>
      <c r="H53" s="96" t="n"/>
      <c r="I53" s="96" t="n"/>
      <c r="J53" s="96" t="n"/>
      <c r="K53" s="96" t="n"/>
      <c r="L53" s="96" t="n"/>
      <c r="M53" s="106">
        <f>IFERROR((I53+J53+K53+L53)/G53*100,"")</f>
        <v/>
      </c>
      <c r="N53" s="99" t="n"/>
      <c r="O53" s="99" t="n"/>
    </row>
    <row r="54" ht="18" customHeight="1">
      <c r="A54" s="91" t="inlineStr">
        <is>
          <t>Sep-25</t>
        </is>
      </c>
      <c r="B54" s="105" t="inlineStr">
        <is>
          <t>Instagram</t>
        </is>
      </c>
      <c r="C54" s="92" t="n"/>
      <c r="D54" s="92" t="n"/>
      <c r="E54" s="92" t="n"/>
      <c r="F54" s="92" t="n"/>
      <c r="G54" s="92" t="n"/>
      <c r="H54" s="92" t="n"/>
      <c r="I54" s="92" t="n"/>
      <c r="J54" s="92" t="n"/>
      <c r="K54" s="92" t="n"/>
      <c r="L54" s="92" t="n"/>
      <c r="M54" s="106">
        <f>IFERROR((I54+J54+K54+L54)/G54*100,"")</f>
        <v/>
      </c>
      <c r="N54" s="95" t="n"/>
      <c r="O54" s="95" t="n"/>
    </row>
    <row r="55" ht="18" customHeight="1">
      <c r="A55" s="91" t="inlineStr">
        <is>
          <t>Sep-25</t>
        </is>
      </c>
      <c r="B55" s="105" t="inlineStr">
        <is>
          <t>Facebook</t>
        </is>
      </c>
      <c r="C55" s="96" t="n"/>
      <c r="D55" s="96" t="n"/>
      <c r="E55" s="96" t="n"/>
      <c r="F55" s="96" t="n"/>
      <c r="G55" s="96" t="n"/>
      <c r="H55" s="96" t="n"/>
      <c r="I55" s="96" t="n"/>
      <c r="J55" s="96" t="n"/>
      <c r="K55" s="96" t="n"/>
      <c r="L55" s="96" t="n"/>
      <c r="M55" s="106">
        <f>IFERROR((I55+J55+K55+L55)/G55*100,"")</f>
        <v/>
      </c>
      <c r="N55" s="99" t="n"/>
      <c r="O55" s="99" t="n"/>
    </row>
    <row r="56" ht="18" customHeight="1">
      <c r="A56" s="91" t="inlineStr">
        <is>
          <t>Sep-25</t>
        </is>
      </c>
      <c r="B56" s="105" t="inlineStr">
        <is>
          <t>TikTok</t>
        </is>
      </c>
      <c r="C56" s="92" t="n"/>
      <c r="D56" s="92" t="n"/>
      <c r="E56" s="92" t="n"/>
      <c r="F56" s="92" t="n"/>
      <c r="G56" s="92" t="n"/>
      <c r="H56" s="92" t="n"/>
      <c r="I56" s="92" t="n"/>
      <c r="J56" s="92" t="n"/>
      <c r="K56" s="92" t="n"/>
      <c r="L56" s="92" t="n"/>
      <c r="M56" s="106">
        <f>IFERROR((I56+J56+K56+L56)/G56*100,"")</f>
        <v/>
      </c>
      <c r="N56" s="95" t="n"/>
      <c r="O56" s="95" t="n"/>
    </row>
    <row r="57" ht="18" customHeight="1">
      <c r="A57" s="91" t="inlineStr">
        <is>
          <t>Sep-25</t>
        </is>
      </c>
      <c r="B57" s="105" t="inlineStr">
        <is>
          <t>YouTube</t>
        </is>
      </c>
      <c r="C57" s="96" t="n"/>
      <c r="D57" s="96" t="n"/>
      <c r="E57" s="96" t="n"/>
      <c r="F57" s="96" t="n"/>
      <c r="G57" s="96" t="n"/>
      <c r="H57" s="96" t="n"/>
      <c r="I57" s="96" t="n"/>
      <c r="J57" s="96" t="n"/>
      <c r="K57" s="96" t="n"/>
      <c r="L57" s="96" t="n"/>
      <c r="M57" s="106">
        <f>IFERROR((I57+J57+K57+L57)/G57*100,"")</f>
        <v/>
      </c>
      <c r="N57" s="99" t="n"/>
      <c r="O57" s="99" t="n"/>
    </row>
    <row r="58" ht="18" customHeight="1">
      <c r="A58" s="91" t="inlineStr">
        <is>
          <t>Sep-25</t>
        </is>
      </c>
      <c r="B58" s="105" t="inlineStr">
        <is>
          <t>LinkedIn</t>
        </is>
      </c>
      <c r="C58" s="92" t="n"/>
      <c r="D58" s="92" t="n"/>
      <c r="E58" s="92" t="n"/>
      <c r="F58" s="92" t="n"/>
      <c r="G58" s="92" t="n"/>
      <c r="H58" s="92" t="n"/>
      <c r="I58" s="92" t="n"/>
      <c r="J58" s="92" t="n"/>
      <c r="K58" s="92" t="n"/>
      <c r="L58" s="92" t="n"/>
      <c r="M58" s="106">
        <f>IFERROR((I58+J58+K58+L58)/G58*100,"")</f>
        <v/>
      </c>
      <c r="N58" s="95" t="n"/>
      <c r="O58" s="95" t="n"/>
    </row>
    <row r="59" ht="18" customHeight="1">
      <c r="A59" s="91" t="inlineStr">
        <is>
          <t>Sep-25</t>
        </is>
      </c>
      <c r="B59" s="105" t="inlineStr">
        <is>
          <t>Twitter/X</t>
        </is>
      </c>
      <c r="C59" s="96" t="n"/>
      <c r="D59" s="96" t="n"/>
      <c r="E59" s="96" t="n"/>
      <c r="F59" s="96" t="n"/>
      <c r="G59" s="96" t="n"/>
      <c r="H59" s="96" t="n"/>
      <c r="I59" s="96" t="n"/>
      <c r="J59" s="96" t="n"/>
      <c r="K59" s="96" t="n"/>
      <c r="L59" s="96" t="n"/>
      <c r="M59" s="106">
        <f>IFERROR((I59+J59+K59+L59)/G59*100,"")</f>
        <v/>
      </c>
      <c r="N59" s="99" t="n"/>
      <c r="O59" s="99" t="n"/>
    </row>
    <row r="60" ht="18" customHeight="1">
      <c r="A60" s="91" t="inlineStr">
        <is>
          <t>Oct-25</t>
        </is>
      </c>
      <c r="B60" s="105" t="inlineStr">
        <is>
          <t>Instagram</t>
        </is>
      </c>
      <c r="C60" s="92" t="n"/>
      <c r="D60" s="92" t="n"/>
      <c r="E60" s="92" t="n"/>
      <c r="F60" s="92" t="n"/>
      <c r="G60" s="92" t="n"/>
      <c r="H60" s="92" t="n"/>
      <c r="I60" s="92" t="n"/>
      <c r="J60" s="92" t="n"/>
      <c r="K60" s="92" t="n"/>
      <c r="L60" s="92" t="n"/>
      <c r="M60" s="106">
        <f>IFERROR((I60+J60+K60+L60)/G60*100,"")</f>
        <v/>
      </c>
      <c r="N60" s="95" t="n"/>
      <c r="O60" s="95" t="n"/>
    </row>
    <row r="61" ht="18" customHeight="1">
      <c r="A61" s="91" t="inlineStr">
        <is>
          <t>Oct-25</t>
        </is>
      </c>
      <c r="B61" s="105" t="inlineStr">
        <is>
          <t>Facebook</t>
        </is>
      </c>
      <c r="C61" s="96" t="n"/>
      <c r="D61" s="96" t="n"/>
      <c r="E61" s="96" t="n"/>
      <c r="F61" s="96" t="n"/>
      <c r="G61" s="96" t="n"/>
      <c r="H61" s="96" t="n"/>
      <c r="I61" s="96" t="n"/>
      <c r="J61" s="96" t="n"/>
      <c r="K61" s="96" t="n"/>
      <c r="L61" s="96" t="n"/>
      <c r="M61" s="106">
        <f>IFERROR((I61+J61+K61+L61)/G61*100,"")</f>
        <v/>
      </c>
      <c r="N61" s="99" t="n"/>
      <c r="O61" s="99" t="n"/>
    </row>
    <row r="62" ht="18" customHeight="1">
      <c r="A62" s="91" t="inlineStr">
        <is>
          <t>Oct-25</t>
        </is>
      </c>
      <c r="B62" s="105" t="inlineStr">
        <is>
          <t>TikTok</t>
        </is>
      </c>
      <c r="C62" s="92" t="n"/>
      <c r="D62" s="92" t="n"/>
      <c r="E62" s="92" t="n"/>
      <c r="F62" s="92" t="n"/>
      <c r="G62" s="92" t="n"/>
      <c r="H62" s="92" t="n"/>
      <c r="I62" s="92" t="n"/>
      <c r="J62" s="92" t="n"/>
      <c r="K62" s="92" t="n"/>
      <c r="L62" s="92" t="n"/>
      <c r="M62" s="106">
        <f>IFERROR((I62+J62+K62+L62)/G62*100,"")</f>
        <v/>
      </c>
      <c r="N62" s="95" t="n"/>
      <c r="O62" s="95" t="n"/>
    </row>
    <row r="63" ht="18" customHeight="1">
      <c r="A63" s="91" t="inlineStr">
        <is>
          <t>Oct-25</t>
        </is>
      </c>
      <c r="B63" s="105" t="inlineStr">
        <is>
          <t>YouTube</t>
        </is>
      </c>
      <c r="C63" s="96" t="n"/>
      <c r="D63" s="96" t="n"/>
      <c r="E63" s="96" t="n"/>
      <c r="F63" s="96" t="n"/>
      <c r="G63" s="96" t="n"/>
      <c r="H63" s="96" t="n"/>
      <c r="I63" s="96" t="n"/>
      <c r="J63" s="96" t="n"/>
      <c r="K63" s="96" t="n"/>
      <c r="L63" s="96" t="n"/>
      <c r="M63" s="106">
        <f>IFERROR((I63+J63+K63+L63)/G63*100,"")</f>
        <v/>
      </c>
      <c r="N63" s="99" t="n"/>
      <c r="O63" s="99" t="n"/>
    </row>
    <row r="64" ht="18" customHeight="1">
      <c r="A64" s="91" t="inlineStr">
        <is>
          <t>Oct-25</t>
        </is>
      </c>
      <c r="B64" s="105" t="inlineStr">
        <is>
          <t>LinkedIn</t>
        </is>
      </c>
      <c r="C64" s="92" t="n"/>
      <c r="D64" s="92" t="n"/>
      <c r="E64" s="92" t="n"/>
      <c r="F64" s="92" t="n"/>
      <c r="G64" s="92" t="n"/>
      <c r="H64" s="92" t="n"/>
      <c r="I64" s="92" t="n"/>
      <c r="J64" s="92" t="n"/>
      <c r="K64" s="92" t="n"/>
      <c r="L64" s="92" t="n"/>
      <c r="M64" s="106">
        <f>IFERROR((I64+J64+K64+L64)/G64*100,"")</f>
        <v/>
      </c>
      <c r="N64" s="95" t="n"/>
      <c r="O64" s="95" t="n"/>
    </row>
    <row r="65" ht="18" customHeight="1">
      <c r="A65" s="91" t="inlineStr">
        <is>
          <t>Oct-25</t>
        </is>
      </c>
      <c r="B65" s="105" t="inlineStr">
        <is>
          <t>Twitter/X</t>
        </is>
      </c>
      <c r="C65" s="96" t="n"/>
      <c r="D65" s="96" t="n"/>
      <c r="E65" s="96" t="n"/>
      <c r="F65" s="96" t="n"/>
      <c r="G65" s="96" t="n"/>
      <c r="H65" s="96" t="n"/>
      <c r="I65" s="96" t="n"/>
      <c r="J65" s="96" t="n"/>
      <c r="K65" s="96" t="n"/>
      <c r="L65" s="96" t="n"/>
      <c r="M65" s="106">
        <f>IFERROR((I65+J65+K65+L65)/G65*100,"")</f>
        <v/>
      </c>
      <c r="N65" s="99" t="n"/>
      <c r="O65" s="99" t="n"/>
    </row>
    <row r="66" ht="18" customHeight="1">
      <c r="A66" s="91" t="inlineStr">
        <is>
          <t>Nov-25</t>
        </is>
      </c>
      <c r="B66" s="105" t="inlineStr">
        <is>
          <t>Instagram</t>
        </is>
      </c>
      <c r="C66" s="92" t="n"/>
      <c r="D66" s="92" t="n"/>
      <c r="E66" s="92" t="n"/>
      <c r="F66" s="92" t="n"/>
      <c r="G66" s="92" t="n"/>
      <c r="H66" s="92" t="n"/>
      <c r="I66" s="92" t="n"/>
      <c r="J66" s="92" t="n"/>
      <c r="K66" s="92" t="n"/>
      <c r="L66" s="92" t="n"/>
      <c r="M66" s="106">
        <f>IFERROR((I66+J66+K66+L66)/G66*100,"")</f>
        <v/>
      </c>
      <c r="N66" s="95" t="n"/>
      <c r="O66" s="95" t="n"/>
    </row>
    <row r="67" ht="18" customHeight="1">
      <c r="A67" s="91" t="inlineStr">
        <is>
          <t>Nov-25</t>
        </is>
      </c>
      <c r="B67" s="105" t="inlineStr">
        <is>
          <t>Facebook</t>
        </is>
      </c>
      <c r="C67" s="96" t="n"/>
      <c r="D67" s="96" t="n"/>
      <c r="E67" s="96" t="n"/>
      <c r="F67" s="96" t="n"/>
      <c r="G67" s="96" t="n"/>
      <c r="H67" s="96" t="n"/>
      <c r="I67" s="96" t="n"/>
      <c r="J67" s="96" t="n"/>
      <c r="K67" s="96" t="n"/>
      <c r="L67" s="96" t="n"/>
      <c r="M67" s="106">
        <f>IFERROR((I67+J67+K67+L67)/G67*100,"")</f>
        <v/>
      </c>
      <c r="N67" s="99" t="n"/>
      <c r="O67" s="99" t="n"/>
    </row>
    <row r="68" ht="18" customHeight="1">
      <c r="A68" s="91" t="inlineStr">
        <is>
          <t>Nov-25</t>
        </is>
      </c>
      <c r="B68" s="105" t="inlineStr">
        <is>
          <t>TikTok</t>
        </is>
      </c>
      <c r="C68" s="92" t="n"/>
      <c r="D68" s="92" t="n"/>
      <c r="E68" s="92" t="n"/>
      <c r="F68" s="92" t="n"/>
      <c r="G68" s="92" t="n"/>
      <c r="H68" s="92" t="n"/>
      <c r="I68" s="92" t="n"/>
      <c r="J68" s="92" t="n"/>
      <c r="K68" s="92" t="n"/>
      <c r="L68" s="92" t="n"/>
      <c r="M68" s="106">
        <f>IFERROR((I68+J68+K68+L68)/G68*100,"")</f>
        <v/>
      </c>
      <c r="N68" s="95" t="n"/>
      <c r="O68" s="95" t="n"/>
    </row>
    <row r="69" ht="18" customHeight="1">
      <c r="A69" s="91" t="inlineStr">
        <is>
          <t>Nov-25</t>
        </is>
      </c>
      <c r="B69" s="105" t="inlineStr">
        <is>
          <t>YouTube</t>
        </is>
      </c>
      <c r="C69" s="96" t="n"/>
      <c r="D69" s="96" t="n"/>
      <c r="E69" s="96" t="n"/>
      <c r="F69" s="96" t="n"/>
      <c r="G69" s="96" t="n"/>
      <c r="H69" s="96" t="n"/>
      <c r="I69" s="96" t="n"/>
      <c r="J69" s="96" t="n"/>
      <c r="K69" s="96" t="n"/>
      <c r="L69" s="96" t="n"/>
      <c r="M69" s="106">
        <f>IFERROR((I69+J69+K69+L69)/G69*100,"")</f>
        <v/>
      </c>
      <c r="N69" s="99" t="n"/>
      <c r="O69" s="99" t="n"/>
    </row>
    <row r="70" ht="18" customHeight="1">
      <c r="A70" s="91" t="inlineStr">
        <is>
          <t>Nov-25</t>
        </is>
      </c>
      <c r="B70" s="105" t="inlineStr">
        <is>
          <t>LinkedIn</t>
        </is>
      </c>
      <c r="C70" s="92" t="n"/>
      <c r="D70" s="92" t="n"/>
      <c r="E70" s="92" t="n"/>
      <c r="F70" s="92" t="n"/>
      <c r="G70" s="92" t="n"/>
      <c r="H70" s="92" t="n"/>
      <c r="I70" s="92" t="n"/>
      <c r="J70" s="92" t="n"/>
      <c r="K70" s="92" t="n"/>
      <c r="L70" s="92" t="n"/>
      <c r="M70" s="106">
        <f>IFERROR((I70+J70+K70+L70)/G70*100,"")</f>
        <v/>
      </c>
      <c r="N70" s="95" t="n"/>
      <c r="O70" s="95" t="n"/>
    </row>
    <row r="71" ht="18" customHeight="1">
      <c r="A71" s="91" t="inlineStr">
        <is>
          <t>Nov-25</t>
        </is>
      </c>
      <c r="B71" s="105" t="inlineStr">
        <is>
          <t>Twitter/X</t>
        </is>
      </c>
      <c r="C71" s="96" t="n"/>
      <c r="D71" s="96" t="n"/>
      <c r="E71" s="96" t="n"/>
      <c r="F71" s="96" t="n"/>
      <c r="G71" s="96" t="n"/>
      <c r="H71" s="96" t="n"/>
      <c r="I71" s="96" t="n"/>
      <c r="J71" s="96" t="n"/>
      <c r="K71" s="96" t="n"/>
      <c r="L71" s="96" t="n"/>
      <c r="M71" s="106">
        <f>IFERROR((I71+J71+K71+L71)/G71*100,"")</f>
        <v/>
      </c>
      <c r="N71" s="99" t="n"/>
      <c r="O71" s="99" t="n"/>
    </row>
    <row r="72" ht="18" customHeight="1">
      <c r="A72" s="91" t="inlineStr">
        <is>
          <t>Dec-25</t>
        </is>
      </c>
      <c r="B72" s="105" t="inlineStr">
        <is>
          <t>Instagram</t>
        </is>
      </c>
      <c r="C72" s="92" t="n"/>
      <c r="D72" s="92" t="n"/>
      <c r="E72" s="92" t="n"/>
      <c r="F72" s="92" t="n"/>
      <c r="G72" s="92" t="n"/>
      <c r="H72" s="92" t="n"/>
      <c r="I72" s="92" t="n"/>
      <c r="J72" s="92" t="n"/>
      <c r="K72" s="92" t="n"/>
      <c r="L72" s="92" t="n"/>
      <c r="M72" s="106">
        <f>IFERROR((I72+J72+K72+L72)/G72*100,"")</f>
        <v/>
      </c>
      <c r="N72" s="95" t="n"/>
      <c r="O72" s="95" t="n"/>
    </row>
    <row r="73" ht="18" customHeight="1">
      <c r="A73" s="91" t="inlineStr">
        <is>
          <t>Dec-25</t>
        </is>
      </c>
      <c r="B73" s="105" t="inlineStr">
        <is>
          <t>Facebook</t>
        </is>
      </c>
      <c r="C73" s="96" t="n"/>
      <c r="D73" s="96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106">
        <f>IFERROR((I73+J73+K73+L73)/G73*100,"")</f>
        <v/>
      </c>
      <c r="N73" s="99" t="n"/>
      <c r="O73" s="99" t="n"/>
    </row>
    <row r="74" ht="18" customHeight="1">
      <c r="A74" s="91" t="inlineStr">
        <is>
          <t>Dec-25</t>
        </is>
      </c>
      <c r="B74" s="105" t="inlineStr">
        <is>
          <t>TikTok</t>
        </is>
      </c>
      <c r="C74" s="92" t="n"/>
      <c r="D74" s="92" t="n"/>
      <c r="E74" s="92" t="n"/>
      <c r="F74" s="92" t="n"/>
      <c r="G74" s="92" t="n"/>
      <c r="H74" s="92" t="n"/>
      <c r="I74" s="92" t="n"/>
      <c r="J74" s="92" t="n"/>
      <c r="K74" s="92" t="n"/>
      <c r="L74" s="92" t="n"/>
      <c r="M74" s="106">
        <f>IFERROR((I74+J74+K74+L74)/G74*100,"")</f>
        <v/>
      </c>
      <c r="N74" s="95" t="n"/>
      <c r="O74" s="95" t="n"/>
    </row>
    <row r="75" ht="18" customHeight="1">
      <c r="A75" s="91" t="inlineStr">
        <is>
          <t>Dec-25</t>
        </is>
      </c>
      <c r="B75" s="105" t="inlineStr">
        <is>
          <t>YouTube</t>
        </is>
      </c>
      <c r="C75" s="96" t="n"/>
      <c r="D75" s="96" t="n"/>
      <c r="E75" s="96" t="n"/>
      <c r="F75" s="96" t="n"/>
      <c r="G75" s="96" t="n"/>
      <c r="H75" s="96" t="n"/>
      <c r="I75" s="96" t="n"/>
      <c r="J75" s="96" t="n"/>
      <c r="K75" s="96" t="n"/>
      <c r="L75" s="96" t="n"/>
      <c r="M75" s="106">
        <f>IFERROR((I75+J75+K75+L75)/G75*100,"")</f>
        <v/>
      </c>
      <c r="N75" s="99" t="n"/>
      <c r="O75" s="99" t="n"/>
    </row>
    <row r="76" ht="18" customHeight="1">
      <c r="A76" s="91" t="inlineStr">
        <is>
          <t>Dec-25</t>
        </is>
      </c>
      <c r="B76" s="105" t="inlineStr">
        <is>
          <t>LinkedIn</t>
        </is>
      </c>
      <c r="C76" s="92" t="n"/>
      <c r="D76" s="92" t="n"/>
      <c r="E76" s="92" t="n"/>
      <c r="F76" s="92" t="n"/>
      <c r="G76" s="92" t="n"/>
      <c r="H76" s="92" t="n"/>
      <c r="I76" s="92" t="n"/>
      <c r="J76" s="92" t="n"/>
      <c r="K76" s="92" t="n"/>
      <c r="L76" s="92" t="n"/>
      <c r="M76" s="106">
        <f>IFERROR((I76+J76+K76+L76)/G76*100,"")</f>
        <v/>
      </c>
      <c r="N76" s="95" t="n"/>
      <c r="O76" s="95" t="n"/>
    </row>
    <row r="77" ht="18" customHeight="1">
      <c r="A77" s="91" t="inlineStr">
        <is>
          <t>Dec-25</t>
        </is>
      </c>
      <c r="B77" s="105" t="inlineStr">
        <is>
          <t>Twitter/X</t>
        </is>
      </c>
      <c r="C77" s="96" t="n"/>
      <c r="D77" s="96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106">
        <f>IFERROR((I77+J77+K77+L77)/G77*100,"")</f>
        <v/>
      </c>
      <c r="N77" s="99" t="n"/>
      <c r="O77" s="99" t="n"/>
    </row>
    <row r="78" ht="18" customHeight="1">
      <c r="A78" s="91" t="inlineStr">
        <is>
          <t>Jan-26</t>
        </is>
      </c>
      <c r="B78" s="105" t="inlineStr">
        <is>
          <t>Instagram</t>
        </is>
      </c>
      <c r="C78" s="92" t="n"/>
      <c r="D78" s="92" t="n"/>
      <c r="E78" s="92" t="n"/>
      <c r="F78" s="92" t="n"/>
      <c r="G78" s="92" t="n"/>
      <c r="H78" s="92" t="n"/>
      <c r="I78" s="92" t="n"/>
      <c r="J78" s="92" t="n"/>
      <c r="K78" s="92" t="n"/>
      <c r="L78" s="92" t="n"/>
      <c r="M78" s="106">
        <f>IFERROR((I78+J78+K78+L78)/G78*100,"")</f>
        <v/>
      </c>
      <c r="N78" s="95" t="n"/>
      <c r="O78" s="95" t="n"/>
    </row>
    <row r="79" ht="18" customHeight="1">
      <c r="A79" s="91" t="inlineStr">
        <is>
          <t>Jan-26</t>
        </is>
      </c>
      <c r="B79" s="105" t="inlineStr">
        <is>
          <t>Facebook</t>
        </is>
      </c>
      <c r="C79" s="96" t="n"/>
      <c r="D79" s="96" t="n"/>
      <c r="E79" s="96" t="n"/>
      <c r="F79" s="96" t="n"/>
      <c r="G79" s="96" t="n"/>
      <c r="H79" s="96" t="n"/>
      <c r="I79" s="96" t="n"/>
      <c r="J79" s="96" t="n"/>
      <c r="K79" s="96" t="n"/>
      <c r="L79" s="96" t="n"/>
      <c r="M79" s="106">
        <f>IFERROR((I79+J79+K79+L79)/G79*100,"")</f>
        <v/>
      </c>
      <c r="N79" s="99" t="n"/>
      <c r="O79" s="99" t="n"/>
    </row>
    <row r="80" ht="18" customHeight="1">
      <c r="A80" s="91" t="inlineStr">
        <is>
          <t>Jan-26</t>
        </is>
      </c>
      <c r="B80" s="105" t="inlineStr">
        <is>
          <t>TikTok</t>
        </is>
      </c>
      <c r="C80" s="92" t="n"/>
      <c r="D80" s="92" t="n"/>
      <c r="E80" s="92" t="n"/>
      <c r="F80" s="92" t="n"/>
      <c r="G80" s="92" t="n"/>
      <c r="H80" s="92" t="n"/>
      <c r="I80" s="92" t="n"/>
      <c r="J80" s="92" t="n"/>
      <c r="K80" s="92" t="n"/>
      <c r="L80" s="92" t="n"/>
      <c r="M80" s="106">
        <f>IFERROR((I80+J80+K80+L80)/G80*100,"")</f>
        <v/>
      </c>
      <c r="N80" s="95" t="n"/>
      <c r="O80" s="95" t="n"/>
    </row>
    <row r="81" ht="18" customHeight="1">
      <c r="A81" s="91" t="inlineStr">
        <is>
          <t>Jan-26</t>
        </is>
      </c>
      <c r="B81" s="105" t="inlineStr">
        <is>
          <t>YouTube</t>
        </is>
      </c>
      <c r="C81" s="96" t="n"/>
      <c r="D81" s="96" t="n"/>
      <c r="E81" s="96" t="n"/>
      <c r="F81" s="96" t="n"/>
      <c r="G81" s="96" t="n"/>
      <c r="H81" s="96" t="n"/>
      <c r="I81" s="96" t="n"/>
      <c r="J81" s="96" t="n"/>
      <c r="K81" s="96" t="n"/>
      <c r="L81" s="96" t="n"/>
      <c r="M81" s="106">
        <f>IFERROR((I81+J81+K81+L81)/G81*100,"")</f>
        <v/>
      </c>
      <c r="N81" s="99" t="n"/>
      <c r="O81" s="99" t="n"/>
    </row>
    <row r="82" ht="18" customHeight="1">
      <c r="A82" s="91" t="inlineStr">
        <is>
          <t>Jan-26</t>
        </is>
      </c>
      <c r="B82" s="105" t="inlineStr">
        <is>
          <t>LinkedIn</t>
        </is>
      </c>
      <c r="C82" s="92" t="n"/>
      <c r="D82" s="92" t="n"/>
      <c r="E82" s="92" t="n"/>
      <c r="F82" s="92" t="n"/>
      <c r="G82" s="92" t="n"/>
      <c r="H82" s="92" t="n"/>
      <c r="I82" s="92" t="n"/>
      <c r="J82" s="92" t="n"/>
      <c r="K82" s="92" t="n"/>
      <c r="L82" s="92" t="n"/>
      <c r="M82" s="106">
        <f>IFERROR((I82+J82+K82+L82)/G82*100,"")</f>
        <v/>
      </c>
      <c r="N82" s="95" t="n"/>
      <c r="O82" s="95" t="n"/>
    </row>
    <row r="83" ht="18" customHeight="1">
      <c r="A83" s="91" t="inlineStr">
        <is>
          <t>Jan-26</t>
        </is>
      </c>
      <c r="B83" s="105" t="inlineStr">
        <is>
          <t>Twitter/X</t>
        </is>
      </c>
      <c r="C83" s="96" t="n"/>
      <c r="D83" s="96" t="n"/>
      <c r="E83" s="96" t="n"/>
      <c r="F83" s="96" t="n"/>
      <c r="G83" s="96" t="n"/>
      <c r="H83" s="96" t="n"/>
      <c r="I83" s="96" t="n"/>
      <c r="J83" s="96" t="n"/>
      <c r="K83" s="96" t="n"/>
      <c r="L83" s="96" t="n"/>
      <c r="M83" s="106">
        <f>IFERROR((I83+J83+K83+L83)/G83*100,"")</f>
        <v/>
      </c>
      <c r="N83" s="99" t="n"/>
      <c r="O83" s="99" t="n"/>
    </row>
    <row r="84" ht="18" customHeight="1">
      <c r="A84" s="91" t="inlineStr">
        <is>
          <t>Feb-26</t>
        </is>
      </c>
      <c r="B84" s="105" t="inlineStr">
        <is>
          <t>Instagram</t>
        </is>
      </c>
      <c r="C84" s="92" t="n"/>
      <c r="D84" s="92" t="n"/>
      <c r="E84" s="92" t="n"/>
      <c r="F84" s="92" t="n"/>
      <c r="G84" s="92" t="n"/>
      <c r="H84" s="92" t="n"/>
      <c r="I84" s="92" t="n"/>
      <c r="J84" s="92" t="n"/>
      <c r="K84" s="92" t="n"/>
      <c r="L84" s="92" t="n"/>
      <c r="M84" s="106">
        <f>IFERROR((I84+J84+K84+L84)/G84*100,"")</f>
        <v/>
      </c>
      <c r="N84" s="95" t="n"/>
      <c r="O84" s="95" t="n"/>
    </row>
    <row r="85" ht="18" customHeight="1">
      <c r="A85" s="91" t="inlineStr">
        <is>
          <t>Feb-26</t>
        </is>
      </c>
      <c r="B85" s="105" t="inlineStr">
        <is>
          <t>Facebook</t>
        </is>
      </c>
      <c r="C85" s="96" t="n"/>
      <c r="D85" s="96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106">
        <f>IFERROR((I85+J85+K85+L85)/G85*100,"")</f>
        <v/>
      </c>
      <c r="N85" s="99" t="n"/>
      <c r="O85" s="99" t="n"/>
    </row>
    <row r="86" ht="18" customHeight="1">
      <c r="A86" s="91" t="inlineStr">
        <is>
          <t>Feb-26</t>
        </is>
      </c>
      <c r="B86" s="105" t="inlineStr">
        <is>
          <t>TikTok</t>
        </is>
      </c>
      <c r="C86" s="92" t="n"/>
      <c r="D86" s="92" t="n"/>
      <c r="E86" s="92" t="n"/>
      <c r="F86" s="92" t="n"/>
      <c r="G86" s="92" t="n"/>
      <c r="H86" s="92" t="n"/>
      <c r="I86" s="92" t="n"/>
      <c r="J86" s="92" t="n"/>
      <c r="K86" s="92" t="n"/>
      <c r="L86" s="92" t="n"/>
      <c r="M86" s="106">
        <f>IFERROR((I86+J86+K86+L86)/G86*100,"")</f>
        <v/>
      </c>
      <c r="N86" s="95" t="n"/>
      <c r="O86" s="95" t="n"/>
    </row>
    <row r="87" ht="18" customHeight="1">
      <c r="A87" s="91" t="inlineStr">
        <is>
          <t>Feb-26</t>
        </is>
      </c>
      <c r="B87" s="105" t="inlineStr">
        <is>
          <t>YouTube</t>
        </is>
      </c>
      <c r="C87" s="96" t="n"/>
      <c r="D87" s="96" t="n"/>
      <c r="E87" s="96" t="n"/>
      <c r="F87" s="96" t="n"/>
      <c r="G87" s="96" t="n"/>
      <c r="H87" s="96" t="n"/>
      <c r="I87" s="96" t="n"/>
      <c r="J87" s="96" t="n"/>
      <c r="K87" s="96" t="n"/>
      <c r="L87" s="96" t="n"/>
      <c r="M87" s="106">
        <f>IFERROR((I87+J87+K87+L87)/G87*100,"")</f>
        <v/>
      </c>
      <c r="N87" s="99" t="n"/>
      <c r="O87" s="99" t="n"/>
    </row>
    <row r="88" ht="18" customHeight="1">
      <c r="A88" s="91" t="inlineStr">
        <is>
          <t>Feb-26</t>
        </is>
      </c>
      <c r="B88" s="105" t="inlineStr">
        <is>
          <t>LinkedIn</t>
        </is>
      </c>
      <c r="C88" s="92" t="n"/>
      <c r="D88" s="92" t="n"/>
      <c r="E88" s="92" t="n"/>
      <c r="F88" s="92" t="n"/>
      <c r="G88" s="92" t="n"/>
      <c r="H88" s="92" t="n"/>
      <c r="I88" s="92" t="n"/>
      <c r="J88" s="92" t="n"/>
      <c r="K88" s="92" t="n"/>
      <c r="L88" s="92" t="n"/>
      <c r="M88" s="106">
        <f>IFERROR((I88+J88+K88+L88)/G88*100,"")</f>
        <v/>
      </c>
      <c r="N88" s="95" t="n"/>
      <c r="O88" s="95" t="n"/>
    </row>
    <row r="89" ht="18" customHeight="1">
      <c r="A89" s="91" t="inlineStr">
        <is>
          <t>Feb-26</t>
        </is>
      </c>
      <c r="B89" s="105" t="inlineStr">
        <is>
          <t>Twitter/X</t>
        </is>
      </c>
      <c r="C89" s="96" t="n"/>
      <c r="D89" s="96" t="n"/>
      <c r="E89" s="96" t="n"/>
      <c r="F89" s="96" t="n"/>
      <c r="G89" s="96" t="n"/>
      <c r="H89" s="96" t="n"/>
      <c r="I89" s="96" t="n"/>
      <c r="J89" s="96" t="n"/>
      <c r="K89" s="96" t="n"/>
      <c r="L89" s="96" t="n"/>
      <c r="M89" s="106">
        <f>IFERROR((I89+J89+K89+L89)/G89*100,"")</f>
        <v/>
      </c>
      <c r="N89" s="99" t="n"/>
      <c r="O89" s="99" t="n"/>
    </row>
    <row r="90" ht="18" customHeight="1">
      <c r="A90" s="91" t="inlineStr">
        <is>
          <t>Mar-26</t>
        </is>
      </c>
      <c r="B90" s="105" t="inlineStr">
        <is>
          <t>Instagram</t>
        </is>
      </c>
      <c r="C90" s="92" t="n"/>
      <c r="D90" s="92" t="n"/>
      <c r="E90" s="92" t="n"/>
      <c r="F90" s="92" t="n"/>
      <c r="G90" s="92" t="n"/>
      <c r="H90" s="92" t="n"/>
      <c r="I90" s="92" t="n"/>
      <c r="J90" s="92" t="n"/>
      <c r="K90" s="92" t="n"/>
      <c r="L90" s="92" t="n"/>
      <c r="M90" s="106">
        <f>IFERROR((I90+J90+K90+L90)/G90*100,"")</f>
        <v/>
      </c>
      <c r="N90" s="95" t="n"/>
      <c r="O90" s="95" t="n"/>
    </row>
    <row r="91" ht="18" customHeight="1">
      <c r="A91" s="91" t="inlineStr">
        <is>
          <t>Mar-26</t>
        </is>
      </c>
      <c r="B91" s="105" t="inlineStr">
        <is>
          <t>Facebook</t>
        </is>
      </c>
      <c r="C91" s="96" t="n"/>
      <c r="D91" s="96" t="n"/>
      <c r="E91" s="96" t="n"/>
      <c r="F91" s="96" t="n"/>
      <c r="G91" s="96" t="n"/>
      <c r="H91" s="96" t="n"/>
      <c r="I91" s="96" t="n"/>
      <c r="J91" s="96" t="n"/>
      <c r="K91" s="96" t="n"/>
      <c r="L91" s="96" t="n"/>
      <c r="M91" s="106">
        <f>IFERROR((I91+J91+K91+L91)/G91*100,"")</f>
        <v/>
      </c>
      <c r="N91" s="99" t="n"/>
      <c r="O91" s="99" t="n"/>
    </row>
    <row r="92" ht="18" customHeight="1">
      <c r="A92" s="91" t="inlineStr">
        <is>
          <t>Mar-26</t>
        </is>
      </c>
      <c r="B92" s="105" t="inlineStr">
        <is>
          <t>TikTok</t>
        </is>
      </c>
      <c r="C92" s="92" t="n"/>
      <c r="D92" s="92" t="n"/>
      <c r="E92" s="92" t="n"/>
      <c r="F92" s="92" t="n"/>
      <c r="G92" s="92" t="n"/>
      <c r="H92" s="92" t="n"/>
      <c r="I92" s="92" t="n"/>
      <c r="J92" s="92" t="n"/>
      <c r="K92" s="92" t="n"/>
      <c r="L92" s="92" t="n"/>
      <c r="M92" s="106">
        <f>IFERROR((I92+J92+K92+L92)/G92*100,"")</f>
        <v/>
      </c>
      <c r="N92" s="95" t="n"/>
      <c r="O92" s="95" t="n"/>
    </row>
    <row r="93" ht="18" customHeight="1">
      <c r="A93" s="91" t="inlineStr">
        <is>
          <t>Mar-26</t>
        </is>
      </c>
      <c r="B93" s="105" t="inlineStr">
        <is>
          <t>YouTube</t>
        </is>
      </c>
      <c r="C93" s="96" t="n"/>
      <c r="D93" s="96" t="n"/>
      <c r="E93" s="96" t="n"/>
      <c r="F93" s="96" t="n"/>
      <c r="G93" s="96" t="n"/>
      <c r="H93" s="96" t="n"/>
      <c r="I93" s="96" t="n"/>
      <c r="J93" s="96" t="n"/>
      <c r="K93" s="96" t="n"/>
      <c r="L93" s="96" t="n"/>
      <c r="M93" s="106">
        <f>IFERROR((I93+J93+K93+L93)/G93*100,"")</f>
        <v/>
      </c>
      <c r="N93" s="99" t="n"/>
      <c r="O93" s="99" t="n"/>
    </row>
    <row r="94" ht="18" customHeight="1">
      <c r="A94" s="91" t="inlineStr">
        <is>
          <t>Mar-26</t>
        </is>
      </c>
      <c r="B94" s="105" t="inlineStr">
        <is>
          <t>LinkedIn</t>
        </is>
      </c>
      <c r="C94" s="92" t="n"/>
      <c r="D94" s="92" t="n"/>
      <c r="E94" s="92" t="n"/>
      <c r="F94" s="92" t="n"/>
      <c r="G94" s="92" t="n"/>
      <c r="H94" s="92" t="n"/>
      <c r="I94" s="92" t="n"/>
      <c r="J94" s="92" t="n"/>
      <c r="K94" s="92" t="n"/>
      <c r="L94" s="92" t="n"/>
      <c r="M94" s="106">
        <f>IFERROR((I94+J94+K94+L94)/G94*100,"")</f>
        <v/>
      </c>
      <c r="N94" s="95" t="n"/>
      <c r="O94" s="95" t="n"/>
    </row>
    <row r="95" ht="18" customHeight="1">
      <c r="A95" s="91" t="inlineStr">
        <is>
          <t>Mar-26</t>
        </is>
      </c>
      <c r="B95" s="105" t="inlineStr">
        <is>
          <t>Twitter/X</t>
        </is>
      </c>
      <c r="C95" s="96" t="n"/>
      <c r="D95" s="96" t="n"/>
      <c r="E95" s="96" t="n"/>
      <c r="F95" s="96" t="n"/>
      <c r="G95" s="96" t="n"/>
      <c r="H95" s="96" t="n"/>
      <c r="I95" s="96" t="n"/>
      <c r="J95" s="96" t="n"/>
      <c r="K95" s="96" t="n"/>
      <c r="L95" s="96" t="n"/>
      <c r="M95" s="106">
        <f>IFERROR((I95+J95+K95+L95)/G95*100,"")</f>
        <v/>
      </c>
      <c r="N95" s="99" t="n"/>
      <c r="O95" s="99" t="n"/>
    </row>
    <row r="96" ht="18" customHeight="1">
      <c r="A96" s="91" t="inlineStr">
        <is>
          <t>Apr-26</t>
        </is>
      </c>
      <c r="B96" s="105" t="inlineStr">
        <is>
          <t>Instagram</t>
        </is>
      </c>
      <c r="C96" s="92" t="n"/>
      <c r="D96" s="92" t="n"/>
      <c r="E96" s="92" t="n"/>
      <c r="F96" s="92" t="n"/>
      <c r="G96" s="92" t="n"/>
      <c r="H96" s="92" t="n"/>
      <c r="I96" s="92" t="n"/>
      <c r="J96" s="92" t="n"/>
      <c r="K96" s="92" t="n"/>
      <c r="L96" s="92" t="n"/>
      <c r="M96" s="106">
        <f>IFERROR((I96+J96+K96+L96)/G96*100,"")</f>
        <v/>
      </c>
      <c r="N96" s="95" t="n"/>
      <c r="O96" s="95" t="n"/>
    </row>
    <row r="97" ht="18" customHeight="1">
      <c r="A97" s="91" t="inlineStr">
        <is>
          <t>Apr-26</t>
        </is>
      </c>
      <c r="B97" s="105" t="inlineStr">
        <is>
          <t>Facebook</t>
        </is>
      </c>
      <c r="C97" s="96" t="n"/>
      <c r="D97" s="96" t="n"/>
      <c r="E97" s="96" t="n"/>
      <c r="F97" s="96" t="n"/>
      <c r="G97" s="96" t="n"/>
      <c r="H97" s="96" t="n"/>
      <c r="I97" s="96" t="n"/>
      <c r="J97" s="96" t="n"/>
      <c r="K97" s="96" t="n"/>
      <c r="L97" s="96" t="n"/>
      <c r="M97" s="106">
        <f>IFERROR((I97+J97+K97+L97)/G97*100,"")</f>
        <v/>
      </c>
      <c r="N97" s="99" t="n"/>
      <c r="O97" s="99" t="n"/>
    </row>
    <row r="98" ht="18" customHeight="1">
      <c r="A98" s="91" t="inlineStr">
        <is>
          <t>Apr-26</t>
        </is>
      </c>
      <c r="B98" s="105" t="inlineStr">
        <is>
          <t>TikTok</t>
        </is>
      </c>
      <c r="C98" s="92" t="n"/>
      <c r="D98" s="92" t="n"/>
      <c r="E98" s="92" t="n"/>
      <c r="F98" s="92" t="n"/>
      <c r="G98" s="92" t="n"/>
      <c r="H98" s="92" t="n"/>
      <c r="I98" s="92" t="n"/>
      <c r="J98" s="92" t="n"/>
      <c r="K98" s="92" t="n"/>
      <c r="L98" s="92" t="n"/>
      <c r="M98" s="106">
        <f>IFERROR((I98+J98+K98+L98)/G98*100,"")</f>
        <v/>
      </c>
      <c r="N98" s="95" t="n"/>
      <c r="O98" s="95" t="n"/>
    </row>
    <row r="99" ht="18" customHeight="1">
      <c r="A99" s="91" t="inlineStr">
        <is>
          <t>Apr-26</t>
        </is>
      </c>
      <c r="B99" s="105" t="inlineStr">
        <is>
          <t>YouTube</t>
        </is>
      </c>
      <c r="C99" s="96" t="n"/>
      <c r="D99" s="96" t="n"/>
      <c r="E99" s="96" t="n"/>
      <c r="F99" s="96" t="n"/>
      <c r="G99" s="96" t="n"/>
      <c r="H99" s="96" t="n"/>
      <c r="I99" s="96" t="n"/>
      <c r="J99" s="96" t="n"/>
      <c r="K99" s="96" t="n"/>
      <c r="L99" s="96" t="n"/>
      <c r="M99" s="106">
        <f>IFERROR((I99+J99+K99+L99)/G99*100,"")</f>
        <v/>
      </c>
      <c r="N99" s="99" t="n"/>
      <c r="O99" s="99" t="n"/>
    </row>
    <row r="100" ht="18" customHeight="1">
      <c r="A100" s="91" t="inlineStr">
        <is>
          <t>Apr-26</t>
        </is>
      </c>
      <c r="B100" s="105" t="inlineStr">
        <is>
          <t>LinkedIn</t>
        </is>
      </c>
      <c r="C100" s="92" t="n"/>
      <c r="D100" s="92" t="n"/>
      <c r="E100" s="92" t="n"/>
      <c r="F100" s="92" t="n"/>
      <c r="G100" s="92" t="n"/>
      <c r="H100" s="92" t="n"/>
      <c r="I100" s="92" t="n"/>
      <c r="J100" s="92" t="n"/>
      <c r="K100" s="92" t="n"/>
      <c r="L100" s="92" t="n"/>
      <c r="M100" s="106">
        <f>IFERROR((I100+J100+K100+L100)/G100*100,"")</f>
        <v/>
      </c>
      <c r="N100" s="95" t="n"/>
      <c r="O100" s="95" t="n"/>
    </row>
    <row r="101" ht="18" customHeight="1">
      <c r="A101" s="91" t="inlineStr">
        <is>
          <t>Apr-26</t>
        </is>
      </c>
      <c r="B101" s="105" t="inlineStr">
        <is>
          <t>Twitter/X</t>
        </is>
      </c>
      <c r="C101" s="96" t="n"/>
      <c r="D101" s="96" t="n"/>
      <c r="E101" s="96" t="n"/>
      <c r="F101" s="96" t="n"/>
      <c r="G101" s="96" t="n"/>
      <c r="H101" s="96" t="n"/>
      <c r="I101" s="96" t="n"/>
      <c r="J101" s="96" t="n"/>
      <c r="K101" s="96" t="n"/>
      <c r="L101" s="96" t="n"/>
      <c r="M101" s="106">
        <f>IFERROR((I101+J101+K101+L101)/G101*100,"")</f>
        <v/>
      </c>
      <c r="N101" s="99" t="n"/>
      <c r="O101" s="99" t="n"/>
    </row>
    <row r="102" ht="18" customHeight="1">
      <c r="A102" s="91" t="inlineStr">
        <is>
          <t>May-26</t>
        </is>
      </c>
      <c r="B102" s="105" t="inlineStr">
        <is>
          <t>Instagram</t>
        </is>
      </c>
      <c r="C102" s="92" t="n"/>
      <c r="D102" s="92" t="n"/>
      <c r="E102" s="92" t="n"/>
      <c r="F102" s="92" t="n"/>
      <c r="G102" s="92" t="n"/>
      <c r="H102" s="92" t="n"/>
      <c r="I102" s="92" t="n"/>
      <c r="J102" s="92" t="n"/>
      <c r="K102" s="92" t="n"/>
      <c r="L102" s="92" t="n"/>
      <c r="M102" s="106">
        <f>IFERROR((I102+J102+K102+L102)/G102*100,"")</f>
        <v/>
      </c>
      <c r="N102" s="95" t="n"/>
      <c r="O102" s="95" t="n"/>
    </row>
    <row r="103" ht="18" customHeight="1">
      <c r="A103" s="91" t="inlineStr">
        <is>
          <t>May-26</t>
        </is>
      </c>
      <c r="B103" s="105" t="inlineStr">
        <is>
          <t>Facebook</t>
        </is>
      </c>
      <c r="C103" s="96" t="n"/>
      <c r="D103" s="96" t="n"/>
      <c r="E103" s="96" t="n"/>
      <c r="F103" s="96" t="n"/>
      <c r="G103" s="96" t="n"/>
      <c r="H103" s="96" t="n"/>
      <c r="I103" s="96" t="n"/>
      <c r="J103" s="96" t="n"/>
      <c r="K103" s="96" t="n"/>
      <c r="L103" s="96" t="n"/>
      <c r="M103" s="106">
        <f>IFERROR((I103+J103+K103+L103)/G103*100,"")</f>
        <v/>
      </c>
      <c r="N103" s="99" t="n"/>
      <c r="O103" s="99" t="n"/>
    </row>
    <row r="104" ht="18" customHeight="1">
      <c r="A104" s="91" t="inlineStr">
        <is>
          <t>May-26</t>
        </is>
      </c>
      <c r="B104" s="105" t="inlineStr">
        <is>
          <t>TikTok</t>
        </is>
      </c>
      <c r="C104" s="92" t="n"/>
      <c r="D104" s="92" t="n"/>
      <c r="E104" s="92" t="n"/>
      <c r="F104" s="92" t="n"/>
      <c r="G104" s="92" t="n"/>
      <c r="H104" s="92" t="n"/>
      <c r="I104" s="92" t="n"/>
      <c r="J104" s="92" t="n"/>
      <c r="K104" s="92" t="n"/>
      <c r="L104" s="92" t="n"/>
      <c r="M104" s="106">
        <f>IFERROR((I104+J104+K104+L104)/G104*100,"")</f>
        <v/>
      </c>
      <c r="N104" s="95" t="n"/>
      <c r="O104" s="95" t="n"/>
    </row>
    <row r="105" ht="18" customHeight="1">
      <c r="A105" s="91" t="inlineStr">
        <is>
          <t>May-26</t>
        </is>
      </c>
      <c r="B105" s="105" t="inlineStr">
        <is>
          <t>YouTube</t>
        </is>
      </c>
      <c r="C105" s="96" t="n"/>
      <c r="D105" s="96" t="n"/>
      <c r="E105" s="96" t="n"/>
      <c r="F105" s="96" t="n"/>
      <c r="G105" s="96" t="n"/>
      <c r="H105" s="96" t="n"/>
      <c r="I105" s="96" t="n"/>
      <c r="J105" s="96" t="n"/>
      <c r="K105" s="96" t="n"/>
      <c r="L105" s="96" t="n"/>
      <c r="M105" s="106">
        <f>IFERROR((I105+J105+K105+L105)/G105*100,"")</f>
        <v/>
      </c>
      <c r="N105" s="99" t="n"/>
      <c r="O105" s="99" t="n"/>
    </row>
    <row r="106" ht="18" customHeight="1">
      <c r="A106" s="91" t="inlineStr">
        <is>
          <t>May-26</t>
        </is>
      </c>
      <c r="B106" s="105" t="inlineStr">
        <is>
          <t>LinkedIn</t>
        </is>
      </c>
      <c r="C106" s="92" t="n"/>
      <c r="D106" s="92" t="n"/>
      <c r="E106" s="92" t="n"/>
      <c r="F106" s="92" t="n"/>
      <c r="G106" s="92" t="n"/>
      <c r="H106" s="92" t="n"/>
      <c r="I106" s="92" t="n"/>
      <c r="J106" s="92" t="n"/>
      <c r="K106" s="92" t="n"/>
      <c r="L106" s="92" t="n"/>
      <c r="M106" s="106">
        <f>IFERROR((I106+J106+K106+L106)/G106*100,"")</f>
        <v/>
      </c>
      <c r="N106" s="95" t="n"/>
      <c r="O106" s="95" t="n"/>
    </row>
    <row r="107" ht="18" customHeight="1">
      <c r="A107" s="91" t="inlineStr">
        <is>
          <t>May-26</t>
        </is>
      </c>
      <c r="B107" s="105" t="inlineStr">
        <is>
          <t>Twitter/X</t>
        </is>
      </c>
      <c r="C107" s="96" t="n"/>
      <c r="D107" s="96" t="n"/>
      <c r="E107" s="96" t="n"/>
      <c r="F107" s="96" t="n"/>
      <c r="G107" s="96" t="n"/>
      <c r="H107" s="96" t="n"/>
      <c r="I107" s="96" t="n"/>
      <c r="J107" s="96" t="n"/>
      <c r="K107" s="96" t="n"/>
      <c r="L107" s="96" t="n"/>
      <c r="M107" s="106">
        <f>IFERROR((I107+J107+K107+L107)/G107*100,"")</f>
        <v/>
      </c>
      <c r="N107" s="99" t="n"/>
      <c r="O107" s="99" t="n"/>
    </row>
    <row r="108" ht="18" customHeight="1">
      <c r="A108" s="91" t="inlineStr">
        <is>
          <t>Jun-26</t>
        </is>
      </c>
      <c r="B108" s="105" t="inlineStr">
        <is>
          <t>Instagram</t>
        </is>
      </c>
      <c r="C108" s="92" t="n"/>
      <c r="D108" s="92" t="n"/>
      <c r="E108" s="92" t="n"/>
      <c r="F108" s="92" t="n"/>
      <c r="G108" s="92" t="n"/>
      <c r="H108" s="92" t="n"/>
      <c r="I108" s="92" t="n"/>
      <c r="J108" s="92" t="n"/>
      <c r="K108" s="92" t="n"/>
      <c r="L108" s="92" t="n"/>
      <c r="M108" s="106">
        <f>IFERROR((I108+J108+K108+L108)/G108*100,"")</f>
        <v/>
      </c>
      <c r="N108" s="95" t="n"/>
      <c r="O108" s="95" t="n"/>
    </row>
    <row r="109" ht="18" customHeight="1">
      <c r="A109" s="91" t="inlineStr">
        <is>
          <t>Jun-26</t>
        </is>
      </c>
      <c r="B109" s="105" t="inlineStr">
        <is>
          <t>Facebook</t>
        </is>
      </c>
      <c r="C109" s="96" t="n"/>
      <c r="D109" s="96" t="n"/>
      <c r="E109" s="96" t="n"/>
      <c r="F109" s="96" t="n"/>
      <c r="G109" s="96" t="n"/>
      <c r="H109" s="96" t="n"/>
      <c r="I109" s="96" t="n"/>
      <c r="J109" s="96" t="n"/>
      <c r="K109" s="96" t="n"/>
      <c r="L109" s="96" t="n"/>
      <c r="M109" s="106">
        <f>IFERROR((I109+J109+K109+L109)/G109*100,"")</f>
        <v/>
      </c>
      <c r="N109" s="99" t="n"/>
      <c r="O109" s="99" t="n"/>
    </row>
    <row r="110" ht="18" customHeight="1">
      <c r="A110" s="91" t="inlineStr">
        <is>
          <t>Jun-26</t>
        </is>
      </c>
      <c r="B110" s="105" t="inlineStr">
        <is>
          <t>TikTok</t>
        </is>
      </c>
      <c r="C110" s="92" t="n"/>
      <c r="D110" s="92" t="n"/>
      <c r="E110" s="92" t="n"/>
      <c r="F110" s="92" t="n"/>
      <c r="G110" s="92" t="n"/>
      <c r="H110" s="92" t="n"/>
      <c r="I110" s="92" t="n"/>
      <c r="J110" s="92" t="n"/>
      <c r="K110" s="92" t="n"/>
      <c r="L110" s="92" t="n"/>
      <c r="M110" s="106">
        <f>IFERROR((I110+J110+K110+L110)/G110*100,"")</f>
        <v/>
      </c>
      <c r="N110" s="95" t="n"/>
      <c r="O110" s="95" t="n"/>
    </row>
    <row r="111" ht="18" customHeight="1">
      <c r="A111" s="91" t="inlineStr">
        <is>
          <t>Jun-26</t>
        </is>
      </c>
      <c r="B111" s="105" t="inlineStr">
        <is>
          <t>YouTube</t>
        </is>
      </c>
      <c r="C111" s="96" t="n"/>
      <c r="D111" s="96" t="n"/>
      <c r="E111" s="96" t="n"/>
      <c r="F111" s="96" t="n"/>
      <c r="G111" s="96" t="n"/>
      <c r="H111" s="96" t="n"/>
      <c r="I111" s="96" t="n"/>
      <c r="J111" s="96" t="n"/>
      <c r="K111" s="96" t="n"/>
      <c r="L111" s="96" t="n"/>
      <c r="M111" s="106">
        <f>IFERROR((I111+J111+K111+L111)/G111*100,"")</f>
        <v/>
      </c>
      <c r="N111" s="99" t="n"/>
      <c r="O111" s="99" t="n"/>
    </row>
    <row r="112" ht="18" customHeight="1">
      <c r="A112" s="91" t="inlineStr">
        <is>
          <t>Jun-26</t>
        </is>
      </c>
      <c r="B112" s="105" t="inlineStr">
        <is>
          <t>LinkedIn</t>
        </is>
      </c>
      <c r="C112" s="92" t="n"/>
      <c r="D112" s="92" t="n"/>
      <c r="E112" s="92" t="n"/>
      <c r="F112" s="92" t="n"/>
      <c r="G112" s="92" t="n"/>
      <c r="H112" s="92" t="n"/>
      <c r="I112" s="92" t="n"/>
      <c r="J112" s="92" t="n"/>
      <c r="K112" s="92" t="n"/>
      <c r="L112" s="92" t="n"/>
      <c r="M112" s="106">
        <f>IFERROR((I112+J112+K112+L112)/G112*100,"")</f>
        <v/>
      </c>
      <c r="N112" s="95" t="n"/>
      <c r="O112" s="95" t="n"/>
    </row>
    <row r="113" ht="18" customHeight="1">
      <c r="A113" s="91" t="inlineStr">
        <is>
          <t>Jun-26</t>
        </is>
      </c>
      <c r="B113" s="105" t="inlineStr">
        <is>
          <t>Twitter/X</t>
        </is>
      </c>
      <c r="C113" s="96" t="n"/>
      <c r="D113" s="96" t="n"/>
      <c r="E113" s="96" t="n"/>
      <c r="F113" s="96" t="n"/>
      <c r="G113" s="96" t="n"/>
      <c r="H113" s="96" t="n"/>
      <c r="I113" s="96" t="n"/>
      <c r="J113" s="96" t="n"/>
      <c r="K113" s="96" t="n"/>
      <c r="L113" s="96" t="n"/>
      <c r="M113" s="106">
        <f>IFERROR((I113+J113+K113+L113)/G113*100,"")</f>
        <v/>
      </c>
      <c r="N113" s="99" t="n"/>
      <c r="O113" s="99" t="n"/>
    </row>
    <row r="114" ht="18" customHeight="1">
      <c r="A114" s="91" t="inlineStr">
        <is>
          <t>Jul-26</t>
        </is>
      </c>
      <c r="B114" s="105" t="inlineStr">
        <is>
          <t>Instagram</t>
        </is>
      </c>
      <c r="C114" s="92" t="n"/>
      <c r="D114" s="92" t="n"/>
      <c r="E114" s="92" t="n"/>
      <c r="F114" s="92" t="n"/>
      <c r="G114" s="92" t="n"/>
      <c r="H114" s="92" t="n"/>
      <c r="I114" s="92" t="n"/>
      <c r="J114" s="92" t="n"/>
      <c r="K114" s="92" t="n"/>
      <c r="L114" s="92" t="n"/>
      <c r="M114" s="106">
        <f>IFERROR((I114+J114+K114+L114)/G114*100,"")</f>
        <v/>
      </c>
      <c r="N114" s="95" t="n"/>
      <c r="O114" s="95" t="n"/>
    </row>
    <row r="115" ht="18" customHeight="1">
      <c r="A115" s="91" t="inlineStr">
        <is>
          <t>Jul-26</t>
        </is>
      </c>
      <c r="B115" s="105" t="inlineStr">
        <is>
          <t>Facebook</t>
        </is>
      </c>
      <c r="C115" s="96" t="n"/>
      <c r="D115" s="96" t="n"/>
      <c r="E115" s="96" t="n"/>
      <c r="F115" s="96" t="n"/>
      <c r="G115" s="96" t="n"/>
      <c r="H115" s="96" t="n"/>
      <c r="I115" s="96" t="n"/>
      <c r="J115" s="96" t="n"/>
      <c r="K115" s="96" t="n"/>
      <c r="L115" s="96" t="n"/>
      <c r="M115" s="106">
        <f>IFERROR((I115+J115+K115+L115)/G115*100,"")</f>
        <v/>
      </c>
      <c r="N115" s="99" t="n"/>
      <c r="O115" s="99" t="n"/>
    </row>
    <row r="116" ht="18" customHeight="1">
      <c r="A116" s="91" t="inlineStr">
        <is>
          <t>Jul-26</t>
        </is>
      </c>
      <c r="B116" s="105" t="inlineStr">
        <is>
          <t>TikTok</t>
        </is>
      </c>
      <c r="C116" s="92" t="n"/>
      <c r="D116" s="92" t="n"/>
      <c r="E116" s="92" t="n"/>
      <c r="F116" s="92" t="n"/>
      <c r="G116" s="92" t="n"/>
      <c r="H116" s="92" t="n"/>
      <c r="I116" s="92" t="n"/>
      <c r="J116" s="92" t="n"/>
      <c r="K116" s="92" t="n"/>
      <c r="L116" s="92" t="n"/>
      <c r="M116" s="106">
        <f>IFERROR((I116+J116+K116+L116)/G116*100,"")</f>
        <v/>
      </c>
      <c r="N116" s="95" t="n"/>
      <c r="O116" s="95" t="n"/>
    </row>
    <row r="117" ht="18" customHeight="1">
      <c r="A117" s="91" t="inlineStr">
        <is>
          <t>Jul-26</t>
        </is>
      </c>
      <c r="B117" s="105" t="inlineStr">
        <is>
          <t>YouTube</t>
        </is>
      </c>
      <c r="C117" s="96" t="n"/>
      <c r="D117" s="96" t="n"/>
      <c r="E117" s="96" t="n"/>
      <c r="F117" s="96" t="n"/>
      <c r="G117" s="96" t="n"/>
      <c r="H117" s="96" t="n"/>
      <c r="I117" s="96" t="n"/>
      <c r="J117" s="96" t="n"/>
      <c r="K117" s="96" t="n"/>
      <c r="L117" s="96" t="n"/>
      <c r="M117" s="106">
        <f>IFERROR((I117+J117+K117+L117)/G117*100,"")</f>
        <v/>
      </c>
      <c r="N117" s="99" t="n"/>
      <c r="O117" s="99" t="n"/>
    </row>
    <row r="118" ht="18" customHeight="1">
      <c r="A118" s="91" t="inlineStr">
        <is>
          <t>Jul-26</t>
        </is>
      </c>
      <c r="B118" s="105" t="inlineStr">
        <is>
          <t>LinkedIn</t>
        </is>
      </c>
      <c r="C118" s="92" t="n"/>
      <c r="D118" s="92" t="n"/>
      <c r="E118" s="92" t="n"/>
      <c r="F118" s="92" t="n"/>
      <c r="G118" s="92" t="n"/>
      <c r="H118" s="92" t="n"/>
      <c r="I118" s="92" t="n"/>
      <c r="J118" s="92" t="n"/>
      <c r="K118" s="92" t="n"/>
      <c r="L118" s="92" t="n"/>
      <c r="M118" s="106">
        <f>IFERROR((I118+J118+K118+L118)/G118*100,"")</f>
        <v/>
      </c>
      <c r="N118" s="95" t="n"/>
      <c r="O118" s="95" t="n"/>
    </row>
    <row r="119" ht="18" customHeight="1">
      <c r="A119" s="91" t="inlineStr">
        <is>
          <t>Jul-26</t>
        </is>
      </c>
      <c r="B119" s="105" t="inlineStr">
        <is>
          <t>Twitter/X</t>
        </is>
      </c>
      <c r="C119" s="96" t="n"/>
      <c r="D119" s="96" t="n"/>
      <c r="E119" s="96" t="n"/>
      <c r="F119" s="96" t="n"/>
      <c r="G119" s="96" t="n"/>
      <c r="H119" s="96" t="n"/>
      <c r="I119" s="96" t="n"/>
      <c r="J119" s="96" t="n"/>
      <c r="K119" s="96" t="n"/>
      <c r="L119" s="96" t="n"/>
      <c r="M119" s="106">
        <f>IFERROR((I119+J119+K119+L119)/G119*100,"")</f>
        <v/>
      </c>
      <c r="N119" s="99" t="n"/>
      <c r="O119" s="99" t="n"/>
    </row>
    <row r="120" ht="18" customHeight="1">
      <c r="A120" s="91" t="inlineStr">
        <is>
          <t>Aug-26</t>
        </is>
      </c>
      <c r="B120" s="105" t="inlineStr">
        <is>
          <t>Instagram</t>
        </is>
      </c>
      <c r="C120" s="92" t="n"/>
      <c r="D120" s="92" t="n"/>
      <c r="E120" s="92" t="n"/>
      <c r="F120" s="92" t="n"/>
      <c r="G120" s="92" t="n"/>
      <c r="H120" s="92" t="n"/>
      <c r="I120" s="92" t="n"/>
      <c r="J120" s="92" t="n"/>
      <c r="K120" s="92" t="n"/>
      <c r="L120" s="92" t="n"/>
      <c r="M120" s="106">
        <f>IFERROR((I120+J120+K120+L120)/G120*100,"")</f>
        <v/>
      </c>
      <c r="N120" s="95" t="n"/>
      <c r="O120" s="95" t="n"/>
    </row>
    <row r="121" ht="18" customHeight="1">
      <c r="A121" s="91" t="inlineStr">
        <is>
          <t>Aug-26</t>
        </is>
      </c>
      <c r="B121" s="105" t="inlineStr">
        <is>
          <t>Facebook</t>
        </is>
      </c>
      <c r="C121" s="96" t="n"/>
      <c r="D121" s="96" t="n"/>
      <c r="E121" s="96" t="n"/>
      <c r="F121" s="96" t="n"/>
      <c r="G121" s="96" t="n"/>
      <c r="H121" s="96" t="n"/>
      <c r="I121" s="96" t="n"/>
      <c r="J121" s="96" t="n"/>
      <c r="K121" s="96" t="n"/>
      <c r="L121" s="96" t="n"/>
      <c r="M121" s="106">
        <f>IFERROR((I121+J121+K121+L121)/G121*100,"")</f>
        <v/>
      </c>
      <c r="N121" s="99" t="n"/>
      <c r="O121" s="99" t="n"/>
    </row>
    <row r="122" ht="18" customHeight="1">
      <c r="A122" s="91" t="inlineStr">
        <is>
          <t>Aug-26</t>
        </is>
      </c>
      <c r="B122" s="105" t="inlineStr">
        <is>
          <t>TikTok</t>
        </is>
      </c>
      <c r="C122" s="92" t="n"/>
      <c r="D122" s="92" t="n"/>
      <c r="E122" s="92" t="n"/>
      <c r="F122" s="92" t="n"/>
      <c r="G122" s="92" t="n"/>
      <c r="H122" s="92" t="n"/>
      <c r="I122" s="92" t="n"/>
      <c r="J122" s="92" t="n"/>
      <c r="K122" s="92" t="n"/>
      <c r="L122" s="92" t="n"/>
      <c r="M122" s="106">
        <f>IFERROR((I122+J122+K122+L122)/G122*100,"")</f>
        <v/>
      </c>
      <c r="N122" s="95" t="n"/>
      <c r="O122" s="95" t="n"/>
    </row>
    <row r="123" ht="18" customHeight="1">
      <c r="A123" s="91" t="inlineStr">
        <is>
          <t>Aug-26</t>
        </is>
      </c>
      <c r="B123" s="105" t="inlineStr">
        <is>
          <t>YouTube</t>
        </is>
      </c>
      <c r="C123" s="96" t="n"/>
      <c r="D123" s="96" t="n"/>
      <c r="E123" s="96" t="n"/>
      <c r="F123" s="96" t="n"/>
      <c r="G123" s="96" t="n"/>
      <c r="H123" s="96" t="n"/>
      <c r="I123" s="96" t="n"/>
      <c r="J123" s="96" t="n"/>
      <c r="K123" s="96" t="n"/>
      <c r="L123" s="96" t="n"/>
      <c r="M123" s="106">
        <f>IFERROR((I123+J123+K123+L123)/G123*100,"")</f>
        <v/>
      </c>
      <c r="N123" s="99" t="n"/>
      <c r="O123" s="99" t="n"/>
    </row>
    <row r="124" ht="18" customHeight="1">
      <c r="A124" s="91" t="inlineStr">
        <is>
          <t>Aug-26</t>
        </is>
      </c>
      <c r="B124" s="105" t="inlineStr">
        <is>
          <t>LinkedIn</t>
        </is>
      </c>
      <c r="C124" s="92" t="n"/>
      <c r="D124" s="92" t="n"/>
      <c r="E124" s="92" t="n"/>
      <c r="F124" s="92" t="n"/>
      <c r="G124" s="92" t="n"/>
      <c r="H124" s="92" t="n"/>
      <c r="I124" s="92" t="n"/>
      <c r="J124" s="92" t="n"/>
      <c r="K124" s="92" t="n"/>
      <c r="L124" s="92" t="n"/>
      <c r="M124" s="106">
        <f>IFERROR((I124+J124+K124+L124)/G124*100,"")</f>
        <v/>
      </c>
      <c r="N124" s="95" t="n"/>
      <c r="O124" s="95" t="n"/>
    </row>
    <row r="125" ht="18" customHeight="1">
      <c r="A125" s="91" t="inlineStr">
        <is>
          <t>Aug-26</t>
        </is>
      </c>
      <c r="B125" s="105" t="inlineStr">
        <is>
          <t>Twitter/X</t>
        </is>
      </c>
      <c r="C125" s="96" t="n"/>
      <c r="D125" s="96" t="n"/>
      <c r="E125" s="96" t="n"/>
      <c r="F125" s="96" t="n"/>
      <c r="G125" s="96" t="n"/>
      <c r="H125" s="96" t="n"/>
      <c r="I125" s="96" t="n"/>
      <c r="J125" s="96" t="n"/>
      <c r="K125" s="96" t="n"/>
      <c r="L125" s="96" t="n"/>
      <c r="M125" s="106">
        <f>IFERROR((I125+J125+K125+L125)/G125*100,"")</f>
        <v/>
      </c>
      <c r="N125" s="99" t="n"/>
      <c r="O125" s="99" t="n"/>
    </row>
    <row r="126" ht="18" customHeight="1">
      <c r="A126" s="91" t="inlineStr">
        <is>
          <t>Sep-26</t>
        </is>
      </c>
      <c r="B126" s="105" t="inlineStr">
        <is>
          <t>Instagram</t>
        </is>
      </c>
      <c r="C126" s="92" t="n"/>
      <c r="D126" s="92" t="n"/>
      <c r="E126" s="92" t="n"/>
      <c r="F126" s="92" t="n"/>
      <c r="G126" s="92" t="n"/>
      <c r="H126" s="92" t="n"/>
      <c r="I126" s="92" t="n"/>
      <c r="J126" s="92" t="n"/>
      <c r="K126" s="92" t="n"/>
      <c r="L126" s="92" t="n"/>
      <c r="M126" s="106">
        <f>IFERROR((I126+J126+K126+L126)/G126*100,"")</f>
        <v/>
      </c>
      <c r="N126" s="95" t="n"/>
      <c r="O126" s="95" t="n"/>
    </row>
    <row r="127" ht="18" customHeight="1">
      <c r="A127" s="91" t="inlineStr">
        <is>
          <t>Sep-26</t>
        </is>
      </c>
      <c r="B127" s="105" t="inlineStr">
        <is>
          <t>Facebook</t>
        </is>
      </c>
      <c r="C127" s="96" t="n"/>
      <c r="D127" s="96" t="n"/>
      <c r="E127" s="96" t="n"/>
      <c r="F127" s="96" t="n"/>
      <c r="G127" s="96" t="n"/>
      <c r="H127" s="96" t="n"/>
      <c r="I127" s="96" t="n"/>
      <c r="J127" s="96" t="n"/>
      <c r="K127" s="96" t="n"/>
      <c r="L127" s="96" t="n"/>
      <c r="M127" s="106">
        <f>IFERROR((I127+J127+K127+L127)/G127*100,"")</f>
        <v/>
      </c>
      <c r="N127" s="99" t="n"/>
      <c r="O127" s="99" t="n"/>
    </row>
    <row r="128" ht="18" customHeight="1">
      <c r="A128" s="91" t="inlineStr">
        <is>
          <t>Sep-26</t>
        </is>
      </c>
      <c r="B128" s="105" t="inlineStr">
        <is>
          <t>TikTok</t>
        </is>
      </c>
      <c r="C128" s="92" t="n"/>
      <c r="D128" s="92" t="n"/>
      <c r="E128" s="92" t="n"/>
      <c r="F128" s="92" t="n"/>
      <c r="G128" s="92" t="n"/>
      <c r="H128" s="92" t="n"/>
      <c r="I128" s="92" t="n"/>
      <c r="J128" s="92" t="n"/>
      <c r="K128" s="92" t="n"/>
      <c r="L128" s="92" t="n"/>
      <c r="M128" s="106">
        <f>IFERROR((I128+J128+K128+L128)/G128*100,"")</f>
        <v/>
      </c>
      <c r="N128" s="95" t="n"/>
      <c r="O128" s="95" t="n"/>
    </row>
    <row r="129" ht="18" customHeight="1">
      <c r="A129" s="91" t="inlineStr">
        <is>
          <t>Sep-26</t>
        </is>
      </c>
      <c r="B129" s="105" t="inlineStr">
        <is>
          <t>YouTube</t>
        </is>
      </c>
      <c r="C129" s="96" t="n"/>
      <c r="D129" s="96" t="n"/>
      <c r="E129" s="96" t="n"/>
      <c r="F129" s="96" t="n"/>
      <c r="G129" s="96" t="n"/>
      <c r="H129" s="96" t="n"/>
      <c r="I129" s="96" t="n"/>
      <c r="J129" s="96" t="n"/>
      <c r="K129" s="96" t="n"/>
      <c r="L129" s="96" t="n"/>
      <c r="M129" s="106">
        <f>IFERROR((I129+J129+K129+L129)/G129*100,"")</f>
        <v/>
      </c>
      <c r="N129" s="99" t="n"/>
      <c r="O129" s="99" t="n"/>
    </row>
    <row r="130" ht="18" customHeight="1">
      <c r="A130" s="91" t="inlineStr">
        <is>
          <t>Sep-26</t>
        </is>
      </c>
      <c r="B130" s="105" t="inlineStr">
        <is>
          <t>LinkedIn</t>
        </is>
      </c>
      <c r="C130" s="92" t="n"/>
      <c r="D130" s="92" t="n"/>
      <c r="E130" s="92" t="n"/>
      <c r="F130" s="92" t="n"/>
      <c r="G130" s="92" t="n"/>
      <c r="H130" s="92" t="n"/>
      <c r="I130" s="92" t="n"/>
      <c r="J130" s="92" t="n"/>
      <c r="K130" s="92" t="n"/>
      <c r="L130" s="92" t="n"/>
      <c r="M130" s="106">
        <f>IFERROR((I130+J130+K130+L130)/G130*100,"")</f>
        <v/>
      </c>
      <c r="N130" s="95" t="n"/>
      <c r="O130" s="95" t="n"/>
    </row>
    <row r="131" ht="18" customHeight="1">
      <c r="A131" s="91" t="inlineStr">
        <is>
          <t>Sep-26</t>
        </is>
      </c>
      <c r="B131" s="105" t="inlineStr">
        <is>
          <t>Twitter/X</t>
        </is>
      </c>
      <c r="C131" s="96" t="n"/>
      <c r="D131" s="96" t="n"/>
      <c r="E131" s="96" t="n"/>
      <c r="F131" s="96" t="n"/>
      <c r="G131" s="96" t="n"/>
      <c r="H131" s="96" t="n"/>
      <c r="I131" s="96" t="n"/>
      <c r="J131" s="96" t="n"/>
      <c r="K131" s="96" t="n"/>
      <c r="L131" s="96" t="n"/>
      <c r="M131" s="106">
        <f>IFERROR((I131+J131+K131+L131)/G131*100,"")</f>
        <v/>
      </c>
      <c r="N131" s="99" t="n"/>
      <c r="O131" s="99" t="n"/>
    </row>
    <row r="132" ht="18" customHeight="1">
      <c r="A132" s="91" t="inlineStr">
        <is>
          <t>Oct-26</t>
        </is>
      </c>
      <c r="B132" s="105" t="inlineStr">
        <is>
          <t>Instagram</t>
        </is>
      </c>
      <c r="C132" s="92" t="n"/>
      <c r="D132" s="92" t="n"/>
      <c r="E132" s="92" t="n"/>
      <c r="F132" s="92" t="n"/>
      <c r="G132" s="92" t="n"/>
      <c r="H132" s="92" t="n"/>
      <c r="I132" s="92" t="n"/>
      <c r="J132" s="92" t="n"/>
      <c r="K132" s="92" t="n"/>
      <c r="L132" s="92" t="n"/>
      <c r="M132" s="106">
        <f>IFERROR((I132+J132+K132+L132)/G132*100,"")</f>
        <v/>
      </c>
      <c r="N132" s="95" t="n"/>
      <c r="O132" s="95" t="n"/>
    </row>
    <row r="133" ht="18" customHeight="1">
      <c r="A133" s="91" t="inlineStr">
        <is>
          <t>Oct-26</t>
        </is>
      </c>
      <c r="B133" s="105" t="inlineStr">
        <is>
          <t>Facebook</t>
        </is>
      </c>
      <c r="C133" s="96" t="n"/>
      <c r="D133" s="96" t="n"/>
      <c r="E133" s="96" t="n"/>
      <c r="F133" s="96" t="n"/>
      <c r="G133" s="96" t="n"/>
      <c r="H133" s="96" t="n"/>
      <c r="I133" s="96" t="n"/>
      <c r="J133" s="96" t="n"/>
      <c r="K133" s="96" t="n"/>
      <c r="L133" s="96" t="n"/>
      <c r="M133" s="106">
        <f>IFERROR((I133+J133+K133+L133)/G133*100,"")</f>
        <v/>
      </c>
      <c r="N133" s="99" t="n"/>
      <c r="O133" s="99" t="n"/>
    </row>
    <row r="134" ht="18" customHeight="1">
      <c r="A134" s="91" t="inlineStr">
        <is>
          <t>Oct-26</t>
        </is>
      </c>
      <c r="B134" s="105" t="inlineStr">
        <is>
          <t>TikTok</t>
        </is>
      </c>
      <c r="C134" s="92" t="n"/>
      <c r="D134" s="92" t="n"/>
      <c r="E134" s="92" t="n"/>
      <c r="F134" s="92" t="n"/>
      <c r="G134" s="92" t="n"/>
      <c r="H134" s="92" t="n"/>
      <c r="I134" s="92" t="n"/>
      <c r="J134" s="92" t="n"/>
      <c r="K134" s="92" t="n"/>
      <c r="L134" s="92" t="n"/>
      <c r="M134" s="106">
        <f>IFERROR((I134+J134+K134+L134)/G134*100,"")</f>
        <v/>
      </c>
      <c r="N134" s="95" t="n"/>
      <c r="O134" s="95" t="n"/>
    </row>
    <row r="135" ht="18" customHeight="1">
      <c r="A135" s="91" t="inlineStr">
        <is>
          <t>Oct-26</t>
        </is>
      </c>
      <c r="B135" s="105" t="inlineStr">
        <is>
          <t>YouTube</t>
        </is>
      </c>
      <c r="C135" s="96" t="n"/>
      <c r="D135" s="96" t="n"/>
      <c r="E135" s="96" t="n"/>
      <c r="F135" s="96" t="n"/>
      <c r="G135" s="96" t="n"/>
      <c r="H135" s="96" t="n"/>
      <c r="I135" s="96" t="n"/>
      <c r="J135" s="96" t="n"/>
      <c r="K135" s="96" t="n"/>
      <c r="L135" s="96" t="n"/>
      <c r="M135" s="106">
        <f>IFERROR((I135+J135+K135+L135)/G135*100,"")</f>
        <v/>
      </c>
      <c r="N135" s="99" t="n"/>
      <c r="O135" s="99" t="n"/>
    </row>
    <row r="136" ht="18" customHeight="1">
      <c r="A136" s="91" t="inlineStr">
        <is>
          <t>Oct-26</t>
        </is>
      </c>
      <c r="B136" s="105" t="inlineStr">
        <is>
          <t>LinkedIn</t>
        </is>
      </c>
      <c r="C136" s="92" t="n"/>
      <c r="D136" s="92" t="n"/>
      <c r="E136" s="92" t="n"/>
      <c r="F136" s="92" t="n"/>
      <c r="G136" s="92" t="n"/>
      <c r="H136" s="92" t="n"/>
      <c r="I136" s="92" t="n"/>
      <c r="J136" s="92" t="n"/>
      <c r="K136" s="92" t="n"/>
      <c r="L136" s="92" t="n"/>
      <c r="M136" s="106">
        <f>IFERROR((I136+J136+K136+L136)/G136*100,"")</f>
        <v/>
      </c>
      <c r="N136" s="95" t="n"/>
      <c r="O136" s="95" t="n"/>
    </row>
    <row r="137" ht="18" customHeight="1">
      <c r="A137" s="91" t="inlineStr">
        <is>
          <t>Oct-26</t>
        </is>
      </c>
      <c r="B137" s="105" t="inlineStr">
        <is>
          <t>Twitter/X</t>
        </is>
      </c>
      <c r="C137" s="96" t="n"/>
      <c r="D137" s="96" t="n"/>
      <c r="E137" s="96" t="n"/>
      <c r="F137" s="96" t="n"/>
      <c r="G137" s="96" t="n"/>
      <c r="H137" s="96" t="n"/>
      <c r="I137" s="96" t="n"/>
      <c r="J137" s="96" t="n"/>
      <c r="K137" s="96" t="n"/>
      <c r="L137" s="96" t="n"/>
      <c r="M137" s="106">
        <f>IFERROR((I137+J137+K137+L137)/G137*100,"")</f>
        <v/>
      </c>
      <c r="N137" s="99" t="n"/>
      <c r="O137" s="99" t="n"/>
    </row>
    <row r="138" ht="18" customHeight="1">
      <c r="A138" s="91" t="inlineStr">
        <is>
          <t>Nov-26</t>
        </is>
      </c>
      <c r="B138" s="105" t="inlineStr">
        <is>
          <t>Instagram</t>
        </is>
      </c>
      <c r="C138" s="92" t="n"/>
      <c r="D138" s="92" t="n"/>
      <c r="E138" s="92" t="n"/>
      <c r="F138" s="92" t="n"/>
      <c r="G138" s="92" t="n"/>
      <c r="H138" s="92" t="n"/>
      <c r="I138" s="92" t="n"/>
      <c r="J138" s="92" t="n"/>
      <c r="K138" s="92" t="n"/>
      <c r="L138" s="92" t="n"/>
      <c r="M138" s="106">
        <f>IFERROR((I138+J138+K138+L138)/G138*100,"")</f>
        <v/>
      </c>
      <c r="N138" s="95" t="n"/>
      <c r="O138" s="95" t="n"/>
    </row>
    <row r="139" ht="18" customHeight="1">
      <c r="A139" s="91" t="inlineStr">
        <is>
          <t>Nov-26</t>
        </is>
      </c>
      <c r="B139" s="105" t="inlineStr">
        <is>
          <t>Facebook</t>
        </is>
      </c>
      <c r="C139" s="96" t="n"/>
      <c r="D139" s="96" t="n"/>
      <c r="E139" s="96" t="n"/>
      <c r="F139" s="96" t="n"/>
      <c r="G139" s="96" t="n"/>
      <c r="H139" s="96" t="n"/>
      <c r="I139" s="96" t="n"/>
      <c r="J139" s="96" t="n"/>
      <c r="K139" s="96" t="n"/>
      <c r="L139" s="96" t="n"/>
      <c r="M139" s="106">
        <f>IFERROR((I139+J139+K139+L139)/G139*100,"")</f>
        <v/>
      </c>
      <c r="N139" s="99" t="n"/>
      <c r="O139" s="99" t="n"/>
    </row>
    <row r="140" ht="18" customHeight="1">
      <c r="A140" s="91" t="inlineStr">
        <is>
          <t>Nov-26</t>
        </is>
      </c>
      <c r="B140" s="105" t="inlineStr">
        <is>
          <t>TikTok</t>
        </is>
      </c>
      <c r="C140" s="92" t="n"/>
      <c r="D140" s="92" t="n"/>
      <c r="E140" s="92" t="n"/>
      <c r="F140" s="92" t="n"/>
      <c r="G140" s="92" t="n"/>
      <c r="H140" s="92" t="n"/>
      <c r="I140" s="92" t="n"/>
      <c r="J140" s="92" t="n"/>
      <c r="K140" s="92" t="n"/>
      <c r="L140" s="92" t="n"/>
      <c r="M140" s="106">
        <f>IFERROR((I140+J140+K140+L140)/G140*100,"")</f>
        <v/>
      </c>
      <c r="N140" s="95" t="n"/>
      <c r="O140" s="95" t="n"/>
    </row>
    <row r="141" ht="18" customHeight="1">
      <c r="A141" s="91" t="inlineStr">
        <is>
          <t>Nov-26</t>
        </is>
      </c>
      <c r="B141" s="105" t="inlineStr">
        <is>
          <t>YouTube</t>
        </is>
      </c>
      <c r="C141" s="96" t="n"/>
      <c r="D141" s="96" t="n"/>
      <c r="E141" s="96" t="n"/>
      <c r="F141" s="96" t="n"/>
      <c r="G141" s="96" t="n"/>
      <c r="H141" s="96" t="n"/>
      <c r="I141" s="96" t="n"/>
      <c r="J141" s="96" t="n"/>
      <c r="K141" s="96" t="n"/>
      <c r="L141" s="96" t="n"/>
      <c r="M141" s="106">
        <f>IFERROR((I141+J141+K141+L141)/G141*100,"")</f>
        <v/>
      </c>
      <c r="N141" s="99" t="n"/>
      <c r="O141" s="99" t="n"/>
    </row>
    <row r="142" ht="18" customHeight="1">
      <c r="A142" s="91" t="inlineStr">
        <is>
          <t>Nov-26</t>
        </is>
      </c>
      <c r="B142" s="105" t="inlineStr">
        <is>
          <t>LinkedIn</t>
        </is>
      </c>
      <c r="C142" s="92" t="n"/>
      <c r="D142" s="92" t="n"/>
      <c r="E142" s="92" t="n"/>
      <c r="F142" s="92" t="n"/>
      <c r="G142" s="92" t="n"/>
      <c r="H142" s="92" t="n"/>
      <c r="I142" s="92" t="n"/>
      <c r="J142" s="92" t="n"/>
      <c r="K142" s="92" t="n"/>
      <c r="L142" s="92" t="n"/>
      <c r="M142" s="106">
        <f>IFERROR((I142+J142+K142+L142)/G142*100,"")</f>
        <v/>
      </c>
      <c r="N142" s="95" t="n"/>
      <c r="O142" s="95" t="n"/>
    </row>
    <row r="143" ht="18" customHeight="1">
      <c r="A143" s="91" t="inlineStr">
        <is>
          <t>Nov-26</t>
        </is>
      </c>
      <c r="B143" s="105" t="inlineStr">
        <is>
          <t>Twitter/X</t>
        </is>
      </c>
      <c r="C143" s="96" t="n"/>
      <c r="D143" s="96" t="n"/>
      <c r="E143" s="96" t="n"/>
      <c r="F143" s="96" t="n"/>
      <c r="G143" s="96" t="n"/>
      <c r="H143" s="96" t="n"/>
      <c r="I143" s="96" t="n"/>
      <c r="J143" s="96" t="n"/>
      <c r="K143" s="96" t="n"/>
      <c r="L143" s="96" t="n"/>
      <c r="M143" s="106">
        <f>IFERROR((I143+J143+K143+L143)/G143*100,"")</f>
        <v/>
      </c>
      <c r="N143" s="99" t="n"/>
      <c r="O143" s="99" t="n"/>
    </row>
    <row r="144" ht="18" customHeight="1">
      <c r="A144" s="91" t="inlineStr">
        <is>
          <t>Dec-26</t>
        </is>
      </c>
      <c r="B144" s="105" t="inlineStr">
        <is>
          <t>Instagram</t>
        </is>
      </c>
      <c r="C144" s="92" t="n"/>
      <c r="D144" s="92" t="n"/>
      <c r="E144" s="92" t="n"/>
      <c r="F144" s="92" t="n"/>
      <c r="G144" s="92" t="n"/>
      <c r="H144" s="92" t="n"/>
      <c r="I144" s="92" t="n"/>
      <c r="J144" s="92" t="n"/>
      <c r="K144" s="92" t="n"/>
      <c r="L144" s="92" t="n"/>
      <c r="M144" s="106">
        <f>IFERROR((I144+J144+K144+L144)/G144*100,"")</f>
        <v/>
      </c>
      <c r="N144" s="95" t="n"/>
      <c r="O144" s="95" t="n"/>
    </row>
    <row r="145" ht="18" customHeight="1">
      <c r="A145" s="91" t="inlineStr">
        <is>
          <t>Dec-26</t>
        </is>
      </c>
      <c r="B145" s="105" t="inlineStr">
        <is>
          <t>Facebook</t>
        </is>
      </c>
      <c r="C145" s="96" t="n"/>
      <c r="D145" s="96" t="n"/>
      <c r="E145" s="96" t="n"/>
      <c r="F145" s="96" t="n"/>
      <c r="G145" s="96" t="n"/>
      <c r="H145" s="96" t="n"/>
      <c r="I145" s="96" t="n"/>
      <c r="J145" s="96" t="n"/>
      <c r="K145" s="96" t="n"/>
      <c r="L145" s="96" t="n"/>
      <c r="M145" s="106">
        <f>IFERROR((I145+J145+K145+L145)/G145*100,"")</f>
        <v/>
      </c>
      <c r="N145" s="99" t="n"/>
      <c r="O145" s="99" t="n"/>
    </row>
    <row r="146" ht="18" customHeight="1">
      <c r="A146" s="91" t="inlineStr">
        <is>
          <t>Dec-26</t>
        </is>
      </c>
      <c r="B146" s="105" t="inlineStr">
        <is>
          <t>TikTok</t>
        </is>
      </c>
      <c r="C146" s="92" t="n"/>
      <c r="D146" s="92" t="n"/>
      <c r="E146" s="92" t="n"/>
      <c r="F146" s="92" t="n"/>
      <c r="G146" s="92" t="n"/>
      <c r="H146" s="92" t="n"/>
      <c r="I146" s="92" t="n"/>
      <c r="J146" s="92" t="n"/>
      <c r="K146" s="92" t="n"/>
      <c r="L146" s="92" t="n"/>
      <c r="M146" s="106">
        <f>IFERROR((I146+J146+K146+L146)/G146*100,"")</f>
        <v/>
      </c>
      <c r="N146" s="95" t="n"/>
      <c r="O146" s="95" t="n"/>
    </row>
    <row r="147" ht="18" customHeight="1">
      <c r="A147" s="91" t="inlineStr">
        <is>
          <t>Dec-26</t>
        </is>
      </c>
      <c r="B147" s="105" t="inlineStr">
        <is>
          <t>YouTube</t>
        </is>
      </c>
      <c r="C147" s="96" t="n"/>
      <c r="D147" s="96" t="n"/>
      <c r="E147" s="96" t="n"/>
      <c r="F147" s="96" t="n"/>
      <c r="G147" s="96" t="n"/>
      <c r="H147" s="96" t="n"/>
      <c r="I147" s="96" t="n"/>
      <c r="J147" s="96" t="n"/>
      <c r="K147" s="96" t="n"/>
      <c r="L147" s="96" t="n"/>
      <c r="M147" s="106">
        <f>IFERROR((I147+J147+K147+L147)/G147*100,"")</f>
        <v/>
      </c>
      <c r="N147" s="99" t="n"/>
      <c r="O147" s="99" t="n"/>
    </row>
    <row r="148" ht="18" customHeight="1">
      <c r="A148" s="91" t="inlineStr">
        <is>
          <t>Dec-26</t>
        </is>
      </c>
      <c r="B148" s="105" t="inlineStr">
        <is>
          <t>LinkedIn</t>
        </is>
      </c>
      <c r="C148" s="92" t="n"/>
      <c r="D148" s="92" t="n"/>
      <c r="E148" s="92" t="n"/>
      <c r="F148" s="92" t="n"/>
      <c r="G148" s="92" t="n"/>
      <c r="H148" s="92" t="n"/>
      <c r="I148" s="92" t="n"/>
      <c r="J148" s="92" t="n"/>
      <c r="K148" s="92" t="n"/>
      <c r="L148" s="92" t="n"/>
      <c r="M148" s="106">
        <f>IFERROR((I148+J148+K148+L148)/G148*100,"")</f>
        <v/>
      </c>
      <c r="N148" s="95" t="n"/>
      <c r="O148" s="95" t="n"/>
    </row>
    <row r="149" ht="18" customHeight="1">
      <c r="A149" s="91" t="inlineStr">
        <is>
          <t>Dec-26</t>
        </is>
      </c>
      <c r="B149" s="105" t="inlineStr">
        <is>
          <t>Twitter/X</t>
        </is>
      </c>
      <c r="C149" s="96" t="n"/>
      <c r="D149" s="96" t="n"/>
      <c r="E149" s="96" t="n"/>
      <c r="F149" s="96" t="n"/>
      <c r="G149" s="96" t="n"/>
      <c r="H149" s="96" t="n"/>
      <c r="I149" s="96" t="n"/>
      <c r="J149" s="96" t="n"/>
      <c r="K149" s="96" t="n"/>
      <c r="L149" s="96" t="n"/>
      <c r="M149" s="106">
        <f>IFERROR((I149+J149+K149+L149)/G149*100,"")</f>
        <v/>
      </c>
      <c r="N149" s="99" t="n"/>
      <c r="O149" s="99" t="n"/>
    </row>
    <row r="151" ht="22" customHeight="1">
      <c r="A151" s="80" t="inlineStr">
        <is>
          <t>PLATFORM TOTALS (all months)</t>
        </is>
      </c>
      <c r="B151" s="2" t="n"/>
    </row>
    <row r="152" ht="18" customHeight="1">
      <c r="A152" s="105" t="inlineStr">
        <is>
          <t>Instagram</t>
        </is>
      </c>
      <c r="C152" s="107" t="inlineStr"/>
      <c r="D152" s="107">
        <f>SUMIF(B6:B149,A152,D6:D149)</f>
        <v/>
      </c>
      <c r="E152" s="107">
        <f>SUMIF(B6:B149,A152,E6:E149)</f>
        <v/>
      </c>
      <c r="F152" s="107">
        <f>SUMIF(B6:B149,A152,F6:F149)</f>
        <v/>
      </c>
      <c r="G152" s="107">
        <f>SUMIF(B6:B149,A152,G6:G149)</f>
        <v/>
      </c>
      <c r="H152" s="107">
        <f>SUMIF(B6:B149,A152,H6:H149)</f>
        <v/>
      </c>
      <c r="I152" s="107">
        <f>SUMIF(B6:B149,A152,I6:I149)</f>
        <v/>
      </c>
      <c r="J152" s="107">
        <f>SUMIF(B6:B149,A152,J6:J149)</f>
        <v/>
      </c>
      <c r="K152" s="107">
        <f>SUMIF(B6:B149,A152,K6:K149)</f>
        <v/>
      </c>
      <c r="L152" s="107">
        <f>SUMIF(B6:B149,A152,L6:L149)</f>
        <v/>
      </c>
      <c r="M152" s="107">
        <f>IFERROR(AVERAGEIF(B6:B149,A152,M6:M149),"–")</f>
        <v/>
      </c>
    </row>
    <row r="153" ht="18" customHeight="1">
      <c r="A153" s="105" t="inlineStr">
        <is>
          <t>Facebook</t>
        </is>
      </c>
      <c r="C153" s="107" t="inlineStr"/>
      <c r="D153" s="107">
        <f>SUMIF(B6:B149,A153,D6:D149)</f>
        <v/>
      </c>
      <c r="E153" s="107">
        <f>SUMIF(B6:B149,A153,E6:E149)</f>
        <v/>
      </c>
      <c r="F153" s="107">
        <f>SUMIF(B6:B149,A153,F6:F149)</f>
        <v/>
      </c>
      <c r="G153" s="107">
        <f>SUMIF(B6:B149,A153,G6:G149)</f>
        <v/>
      </c>
      <c r="H153" s="107">
        <f>SUMIF(B6:B149,A153,H6:H149)</f>
        <v/>
      </c>
      <c r="I153" s="107">
        <f>SUMIF(B6:B149,A153,I6:I149)</f>
        <v/>
      </c>
      <c r="J153" s="107">
        <f>SUMIF(B6:B149,A153,J6:J149)</f>
        <v/>
      </c>
      <c r="K153" s="107">
        <f>SUMIF(B6:B149,A153,K6:K149)</f>
        <v/>
      </c>
      <c r="L153" s="107">
        <f>SUMIF(B6:B149,A153,L6:L149)</f>
        <v/>
      </c>
      <c r="M153" s="107">
        <f>IFERROR(AVERAGEIF(B6:B149,A153,M6:M149),"–")</f>
        <v/>
      </c>
    </row>
    <row r="154" ht="18" customHeight="1">
      <c r="A154" s="105" t="inlineStr">
        <is>
          <t>TikTok</t>
        </is>
      </c>
      <c r="C154" s="107" t="inlineStr"/>
      <c r="D154" s="107">
        <f>SUMIF(B6:B149,A154,D6:D149)</f>
        <v/>
      </c>
      <c r="E154" s="107">
        <f>SUMIF(B6:B149,A154,E6:E149)</f>
        <v/>
      </c>
      <c r="F154" s="107">
        <f>SUMIF(B6:B149,A154,F6:F149)</f>
        <v/>
      </c>
      <c r="G154" s="107">
        <f>SUMIF(B6:B149,A154,G6:G149)</f>
        <v/>
      </c>
      <c r="H154" s="107">
        <f>SUMIF(B6:B149,A154,H6:H149)</f>
        <v/>
      </c>
      <c r="I154" s="107">
        <f>SUMIF(B6:B149,A154,I6:I149)</f>
        <v/>
      </c>
      <c r="J154" s="107">
        <f>SUMIF(B6:B149,A154,J6:J149)</f>
        <v/>
      </c>
      <c r="K154" s="107">
        <f>SUMIF(B6:B149,A154,K6:K149)</f>
        <v/>
      </c>
      <c r="L154" s="107">
        <f>SUMIF(B6:B149,A154,L6:L149)</f>
        <v/>
      </c>
      <c r="M154" s="107">
        <f>IFERROR(AVERAGEIF(B6:B149,A154,M6:M149),"–")</f>
        <v/>
      </c>
    </row>
    <row r="155" ht="18" customHeight="1">
      <c r="A155" s="105" t="inlineStr">
        <is>
          <t>YouTube</t>
        </is>
      </c>
      <c r="C155" s="107" t="inlineStr"/>
      <c r="D155" s="107">
        <f>SUMIF(B6:B149,A155,D6:D149)</f>
        <v/>
      </c>
      <c r="E155" s="107">
        <f>SUMIF(B6:B149,A155,E6:E149)</f>
        <v/>
      </c>
      <c r="F155" s="107">
        <f>SUMIF(B6:B149,A155,F6:F149)</f>
        <v/>
      </c>
      <c r="G155" s="107">
        <f>SUMIF(B6:B149,A155,G6:G149)</f>
        <v/>
      </c>
      <c r="H155" s="107">
        <f>SUMIF(B6:B149,A155,H6:H149)</f>
        <v/>
      </c>
      <c r="I155" s="107">
        <f>SUMIF(B6:B149,A155,I6:I149)</f>
        <v/>
      </c>
      <c r="J155" s="107">
        <f>SUMIF(B6:B149,A155,J6:J149)</f>
        <v/>
      </c>
      <c r="K155" s="107">
        <f>SUMIF(B6:B149,A155,K6:K149)</f>
        <v/>
      </c>
      <c r="L155" s="107">
        <f>SUMIF(B6:B149,A155,L6:L149)</f>
        <v/>
      </c>
      <c r="M155" s="107">
        <f>IFERROR(AVERAGEIF(B6:B149,A155,M6:M149),"–")</f>
        <v/>
      </c>
    </row>
    <row r="156" ht="18" customHeight="1">
      <c r="A156" s="105" t="inlineStr">
        <is>
          <t>LinkedIn</t>
        </is>
      </c>
      <c r="C156" s="107" t="inlineStr"/>
      <c r="D156" s="107">
        <f>SUMIF(B6:B149,A156,D6:D149)</f>
        <v/>
      </c>
      <c r="E156" s="107">
        <f>SUMIF(B6:B149,A156,E6:E149)</f>
        <v/>
      </c>
      <c r="F156" s="107">
        <f>SUMIF(B6:B149,A156,F6:F149)</f>
        <v/>
      </c>
      <c r="G156" s="107">
        <f>SUMIF(B6:B149,A156,G6:G149)</f>
        <v/>
      </c>
      <c r="H156" s="107">
        <f>SUMIF(B6:B149,A156,H6:H149)</f>
        <v/>
      </c>
      <c r="I156" s="107">
        <f>SUMIF(B6:B149,A156,I6:I149)</f>
        <v/>
      </c>
      <c r="J156" s="107">
        <f>SUMIF(B6:B149,A156,J6:J149)</f>
        <v/>
      </c>
      <c r="K156" s="107">
        <f>SUMIF(B6:B149,A156,K6:K149)</f>
        <v/>
      </c>
      <c r="L156" s="107">
        <f>SUMIF(B6:B149,A156,L6:L149)</f>
        <v/>
      </c>
      <c r="M156" s="107">
        <f>IFERROR(AVERAGEIF(B6:B149,A156,M6:M149),"–")</f>
        <v/>
      </c>
    </row>
    <row r="157" ht="18" customHeight="1">
      <c r="A157" s="105" t="inlineStr">
        <is>
          <t>Twitter/X</t>
        </is>
      </c>
      <c r="C157" s="107" t="inlineStr"/>
      <c r="D157" s="107">
        <f>SUMIF(B6:B149,A157,D6:D149)</f>
        <v/>
      </c>
      <c r="E157" s="107">
        <f>SUMIF(B6:B149,A157,E6:E149)</f>
        <v/>
      </c>
      <c r="F157" s="107">
        <f>SUMIF(B6:B149,A157,F6:F149)</f>
        <v/>
      </c>
      <c r="G157" s="107">
        <f>SUMIF(B6:B149,A157,G6:G149)</f>
        <v/>
      </c>
      <c r="H157" s="107">
        <f>SUMIF(B6:B149,A157,H6:H149)</f>
        <v/>
      </c>
      <c r="I157" s="107">
        <f>SUMIF(B6:B149,A157,I6:I149)</f>
        <v/>
      </c>
      <c r="J157" s="107">
        <f>SUMIF(B6:B149,A157,J6:J149)</f>
        <v/>
      </c>
      <c r="K157" s="107">
        <f>SUMIF(B6:B149,A157,K6:K149)</f>
        <v/>
      </c>
      <c r="L157" s="107">
        <f>SUMIF(B6:B149,A157,L6:L149)</f>
        <v/>
      </c>
      <c r="M157" s="107">
        <f>IFERROR(AVERAGEIF(B6:B149,A157,M6:M149),"–")</f>
        <v/>
      </c>
    </row>
  </sheetData>
  <mergeCells count="5">
    <mergeCell ref="A2:O2"/>
    <mergeCell ref="A151:B151"/>
    <mergeCell ref="A1:O1"/>
    <mergeCell ref="A4:O4"/>
    <mergeCell ref="A3:O3"/>
  </mergeCells>
  <dataValidations count="1">
    <dataValidation sqref="B6:B149" showDropDown="0" showInputMessage="0" showErrorMessage="0" allowBlank="1" type="list">
      <formula1>"Instagram,Facebook,TikTok,YouTube,LinkedIn,Twitter/X"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26" customWidth="1" min="3" max="3"/>
    <col width="22" customWidth="1" min="4" max="4"/>
    <col width="18" customWidth="1" min="5" max="5"/>
    <col width="13" customWidth="1" min="6" max="6"/>
    <col width="13" customWidth="1" min="7" max="7"/>
    <col width="15" customWidth="1" min="8" max="8"/>
    <col width="14" customWidth="1" min="9" max="9"/>
    <col width="12" customWidth="1" min="10" max="10"/>
    <col width="10" customWidth="1" min="11" max="11"/>
    <col width="11" customWidth="1" min="12" max="12"/>
    <col width="11" customWidth="1" min="13" max="13"/>
    <col width="14" customWidth="1" min="14" max="14"/>
    <col width="15" customWidth="1" min="15" max="15"/>
    <col width="14" customWidth="1" min="16" max="16"/>
    <col width="30" customWidth="1" min="17" max="17"/>
  </cols>
  <sheetData>
    <row r="1" ht="42" customHeight="1">
      <c r="A1" s="108" t="inlineStr">
        <is>
          <t xml:space="preserve">   💰  PAID ADVERTISING  —  Campaign &amp; Spend Tracker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</row>
    <row r="2" ht="22" customHeight="1">
      <c r="A2" s="109" t="inlineStr">
        <is>
          <t>One row per campaign per month. Track spend, reach and performance for each paid media campaign.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</row>
    <row r="3" ht="16" customHeight="1">
      <c r="A3" s="76" t="inlineStr">
        <is>
          <t>INVEGROW  |  Foods Line Marketing  |  All monetary values in ZAR (R)  |  CTR/ROAS auto-calculate from inputs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20" customHeight="1">
      <c r="A4" s="77" t="inlineStr">
        <is>
          <t>⚡  CTR % = Clicks ÷ Impressions × 100  |  CPC = Spend ÷ Clicks  |  CPM = Spend ÷ Impressions × 1000  |  ROAS = Revenue ÷ Spend</t>
        </is>
      </c>
      <c r="B4" s="78" t="n"/>
      <c r="C4" s="78" t="n"/>
      <c r="D4" s="78" t="n"/>
      <c r="E4" s="78" t="n"/>
      <c r="F4" s="78" t="n"/>
      <c r="G4" s="78" t="n"/>
      <c r="H4" s="78" t="n"/>
      <c r="I4" s="78" t="n"/>
      <c r="J4" s="78" t="n"/>
      <c r="K4" s="78" t="n"/>
      <c r="L4" s="78" t="n"/>
      <c r="M4" s="78" t="n"/>
      <c r="N4" s="78" t="n"/>
      <c r="O4" s="78" t="n"/>
      <c r="P4" s="78" t="n"/>
      <c r="Q4" s="78" t="n"/>
    </row>
    <row r="5" ht="38" customHeight="1">
      <c r="A5" s="85" t="inlineStr">
        <is>
          <t>MONTH</t>
        </is>
      </c>
      <c r="B5" s="88" t="inlineStr">
        <is>
          <t>CAMPAIGN NAME</t>
        </is>
      </c>
      <c r="C5" s="88" t="inlineStr">
        <is>
          <t>AD PLATFORM</t>
        </is>
      </c>
      <c r="D5" s="104" t="inlineStr">
        <is>
          <t>PRODUCT(S)
PROMOTED</t>
        </is>
      </c>
      <c r="E5" s="104" t="inlineStr">
        <is>
          <t>CAMPAIGN
OBJECTIVE</t>
        </is>
      </c>
      <c r="F5" s="86" t="inlineStr">
        <is>
          <t>BUDGET
(R)</t>
        </is>
      </c>
      <c r="G5" s="86" t="inlineStr">
        <is>
          <t>ACTUAL
SPEND (R)</t>
        </is>
      </c>
      <c r="H5" s="86" t="inlineStr">
        <is>
          <t>BUDGET
UTILISATION %</t>
        </is>
      </c>
      <c r="I5" s="87" t="inlineStr">
        <is>
          <t>IMPRESSIONS</t>
        </is>
      </c>
      <c r="J5" s="87" t="inlineStr">
        <is>
          <t>CLICKS</t>
        </is>
      </c>
      <c r="K5" s="87" t="inlineStr">
        <is>
          <t>CTR %</t>
        </is>
      </c>
      <c r="L5" s="87" t="inlineStr">
        <is>
          <t>CPC (R)</t>
        </is>
      </c>
      <c r="M5" s="87" t="inlineStr">
        <is>
          <t>CPM (R)</t>
        </is>
      </c>
      <c r="N5" s="89" t="inlineStr">
        <is>
          <t>CONVERSIONS</t>
        </is>
      </c>
      <c r="O5" s="89" t="inlineStr">
        <is>
          <t>COST / CONV. (R)</t>
        </is>
      </c>
      <c r="P5" s="89" t="inlineStr">
        <is>
          <t>ROAS
(Revenue/Spend)</t>
        </is>
      </c>
      <c r="Q5" s="90" t="inlineStr">
        <is>
          <t>NOTES</t>
        </is>
      </c>
    </row>
    <row r="6" ht="18" customHeight="1">
      <c r="A6" s="95" t="n"/>
      <c r="B6" s="95" t="n"/>
      <c r="C6" s="95" t="n"/>
      <c r="D6" s="95" t="n"/>
      <c r="E6" s="95" t="n"/>
      <c r="F6" s="110" t="n"/>
      <c r="G6" s="110" t="n"/>
      <c r="H6" s="111">
        <f>IFERROR(G6/F6*100,"")</f>
        <v/>
      </c>
      <c r="I6" s="92" t="n"/>
      <c r="J6" s="92" t="n"/>
      <c r="K6" s="112">
        <f>IFERROR(J6/I6*100,"")</f>
        <v/>
      </c>
      <c r="L6" s="113">
        <f>IFERROR(G6/J6,"")</f>
        <v/>
      </c>
      <c r="M6" s="113">
        <f>IFERROR(G6/I6*1000,"")</f>
        <v/>
      </c>
      <c r="N6" s="92" t="n"/>
      <c r="O6" s="114">
        <f>IFERROR(G6/N6,"")</f>
        <v/>
      </c>
      <c r="P6" s="94" t="n"/>
      <c r="Q6" s="95" t="n"/>
    </row>
    <row r="7" ht="18" customHeight="1">
      <c r="A7" s="99" t="n"/>
      <c r="B7" s="99" t="n"/>
      <c r="C7" s="99" t="n"/>
      <c r="D7" s="99" t="n"/>
      <c r="E7" s="99" t="n"/>
      <c r="F7" s="115" t="n"/>
      <c r="G7" s="115" t="n"/>
      <c r="H7" s="111">
        <f>IFERROR(G7/F7*100,"")</f>
        <v/>
      </c>
      <c r="I7" s="96" t="n"/>
      <c r="J7" s="96" t="n"/>
      <c r="K7" s="112">
        <f>IFERROR(J7/I7*100,"")</f>
        <v/>
      </c>
      <c r="L7" s="113">
        <f>IFERROR(G7/J7,"")</f>
        <v/>
      </c>
      <c r="M7" s="113">
        <f>IFERROR(G7/I7*1000,"")</f>
        <v/>
      </c>
      <c r="N7" s="96" t="n"/>
      <c r="O7" s="114">
        <f>IFERROR(G7/N7,"")</f>
        <v/>
      </c>
      <c r="P7" s="98" t="n"/>
      <c r="Q7" s="99" t="n"/>
    </row>
    <row r="8" ht="18" customHeight="1">
      <c r="A8" s="95" t="n"/>
      <c r="B8" s="95" t="n"/>
      <c r="C8" s="95" t="n"/>
      <c r="D8" s="95" t="n"/>
      <c r="E8" s="95" t="n"/>
      <c r="F8" s="110" t="n"/>
      <c r="G8" s="110" t="n"/>
      <c r="H8" s="111">
        <f>IFERROR(G8/F8*100,"")</f>
        <v/>
      </c>
      <c r="I8" s="92" t="n"/>
      <c r="J8" s="92" t="n"/>
      <c r="K8" s="112">
        <f>IFERROR(J8/I8*100,"")</f>
        <v/>
      </c>
      <c r="L8" s="113">
        <f>IFERROR(G8/J8,"")</f>
        <v/>
      </c>
      <c r="M8" s="113">
        <f>IFERROR(G8/I8*1000,"")</f>
        <v/>
      </c>
      <c r="N8" s="92" t="n"/>
      <c r="O8" s="114">
        <f>IFERROR(G8/N8,"")</f>
        <v/>
      </c>
      <c r="P8" s="94" t="n"/>
      <c r="Q8" s="95" t="n"/>
    </row>
    <row r="9" ht="18" customHeight="1">
      <c r="A9" s="99" t="n"/>
      <c r="B9" s="99" t="n"/>
      <c r="C9" s="99" t="n"/>
      <c r="D9" s="99" t="n"/>
      <c r="E9" s="99" t="n"/>
      <c r="F9" s="115" t="n"/>
      <c r="G9" s="115" t="n"/>
      <c r="H9" s="111">
        <f>IFERROR(G9/F9*100,"")</f>
        <v/>
      </c>
      <c r="I9" s="96" t="n"/>
      <c r="J9" s="96" t="n"/>
      <c r="K9" s="112">
        <f>IFERROR(J9/I9*100,"")</f>
        <v/>
      </c>
      <c r="L9" s="113">
        <f>IFERROR(G9/J9,"")</f>
        <v/>
      </c>
      <c r="M9" s="113">
        <f>IFERROR(G9/I9*1000,"")</f>
        <v/>
      </c>
      <c r="N9" s="96" t="n"/>
      <c r="O9" s="114">
        <f>IFERROR(G9/N9,"")</f>
        <v/>
      </c>
      <c r="P9" s="98" t="n"/>
      <c r="Q9" s="99" t="n"/>
    </row>
    <row r="10" ht="18" customHeight="1">
      <c r="A10" s="95" t="n"/>
      <c r="B10" s="95" t="n"/>
      <c r="C10" s="95" t="n"/>
      <c r="D10" s="95" t="n"/>
      <c r="E10" s="95" t="n"/>
      <c r="F10" s="110" t="n"/>
      <c r="G10" s="110" t="n"/>
      <c r="H10" s="111">
        <f>IFERROR(G10/F10*100,"")</f>
        <v/>
      </c>
      <c r="I10" s="92" t="n"/>
      <c r="J10" s="92" t="n"/>
      <c r="K10" s="112">
        <f>IFERROR(J10/I10*100,"")</f>
        <v/>
      </c>
      <c r="L10" s="113">
        <f>IFERROR(G10/J10,"")</f>
        <v/>
      </c>
      <c r="M10" s="113">
        <f>IFERROR(G10/I10*1000,"")</f>
        <v/>
      </c>
      <c r="N10" s="92" t="n"/>
      <c r="O10" s="114">
        <f>IFERROR(G10/N10,"")</f>
        <v/>
      </c>
      <c r="P10" s="94" t="n"/>
      <c r="Q10" s="95" t="n"/>
    </row>
    <row r="11" ht="18" customHeight="1">
      <c r="A11" s="99" t="n"/>
      <c r="B11" s="99" t="n"/>
      <c r="C11" s="99" t="n"/>
      <c r="D11" s="99" t="n"/>
      <c r="E11" s="99" t="n"/>
      <c r="F11" s="115" t="n"/>
      <c r="G11" s="115" t="n"/>
      <c r="H11" s="111">
        <f>IFERROR(G11/F11*100,"")</f>
        <v/>
      </c>
      <c r="I11" s="96" t="n"/>
      <c r="J11" s="96" t="n"/>
      <c r="K11" s="112">
        <f>IFERROR(J11/I11*100,"")</f>
        <v/>
      </c>
      <c r="L11" s="113">
        <f>IFERROR(G11/J11,"")</f>
        <v/>
      </c>
      <c r="M11" s="113">
        <f>IFERROR(G11/I11*1000,"")</f>
        <v/>
      </c>
      <c r="N11" s="96" t="n"/>
      <c r="O11" s="114">
        <f>IFERROR(G11/N11,"")</f>
        <v/>
      </c>
      <c r="P11" s="98" t="n"/>
      <c r="Q11" s="99" t="n"/>
    </row>
    <row r="12" ht="18" customHeight="1">
      <c r="A12" s="95" t="n"/>
      <c r="B12" s="95" t="n"/>
      <c r="C12" s="95" t="n"/>
      <c r="D12" s="95" t="n"/>
      <c r="E12" s="95" t="n"/>
      <c r="F12" s="110" t="n"/>
      <c r="G12" s="110" t="n"/>
      <c r="H12" s="111">
        <f>IFERROR(G12/F12*100,"")</f>
        <v/>
      </c>
      <c r="I12" s="92" t="n"/>
      <c r="J12" s="92" t="n"/>
      <c r="K12" s="112">
        <f>IFERROR(J12/I12*100,"")</f>
        <v/>
      </c>
      <c r="L12" s="113">
        <f>IFERROR(G12/J12,"")</f>
        <v/>
      </c>
      <c r="M12" s="113">
        <f>IFERROR(G12/I12*1000,"")</f>
        <v/>
      </c>
      <c r="N12" s="92" t="n"/>
      <c r="O12" s="114">
        <f>IFERROR(G12/N12,"")</f>
        <v/>
      </c>
      <c r="P12" s="94" t="n"/>
      <c r="Q12" s="95" t="n"/>
    </row>
    <row r="13" ht="18" customHeight="1">
      <c r="A13" s="99" t="n"/>
      <c r="B13" s="99" t="n"/>
      <c r="C13" s="99" t="n"/>
      <c r="D13" s="99" t="n"/>
      <c r="E13" s="99" t="n"/>
      <c r="F13" s="115" t="n"/>
      <c r="G13" s="115" t="n"/>
      <c r="H13" s="111">
        <f>IFERROR(G13/F13*100,"")</f>
        <v/>
      </c>
      <c r="I13" s="96" t="n"/>
      <c r="J13" s="96" t="n"/>
      <c r="K13" s="112">
        <f>IFERROR(J13/I13*100,"")</f>
        <v/>
      </c>
      <c r="L13" s="113">
        <f>IFERROR(G13/J13,"")</f>
        <v/>
      </c>
      <c r="M13" s="113">
        <f>IFERROR(G13/I13*1000,"")</f>
        <v/>
      </c>
      <c r="N13" s="96" t="n"/>
      <c r="O13" s="114">
        <f>IFERROR(G13/N13,"")</f>
        <v/>
      </c>
      <c r="P13" s="98" t="n"/>
      <c r="Q13" s="99" t="n"/>
    </row>
    <row r="14" ht="18" customHeight="1">
      <c r="A14" s="95" t="n"/>
      <c r="B14" s="95" t="n"/>
      <c r="C14" s="95" t="n"/>
      <c r="D14" s="95" t="n"/>
      <c r="E14" s="95" t="n"/>
      <c r="F14" s="110" t="n"/>
      <c r="G14" s="110" t="n"/>
      <c r="H14" s="111">
        <f>IFERROR(G14/F14*100,"")</f>
        <v/>
      </c>
      <c r="I14" s="92" t="n"/>
      <c r="J14" s="92" t="n"/>
      <c r="K14" s="112">
        <f>IFERROR(J14/I14*100,"")</f>
        <v/>
      </c>
      <c r="L14" s="113">
        <f>IFERROR(G14/J14,"")</f>
        <v/>
      </c>
      <c r="M14" s="113">
        <f>IFERROR(G14/I14*1000,"")</f>
        <v/>
      </c>
      <c r="N14" s="92" t="n"/>
      <c r="O14" s="114">
        <f>IFERROR(G14/N14,"")</f>
        <v/>
      </c>
      <c r="P14" s="94" t="n"/>
      <c r="Q14" s="95" t="n"/>
    </row>
    <row r="15" ht="18" customHeight="1">
      <c r="A15" s="99" t="n"/>
      <c r="B15" s="99" t="n"/>
      <c r="C15" s="99" t="n"/>
      <c r="D15" s="99" t="n"/>
      <c r="E15" s="99" t="n"/>
      <c r="F15" s="115" t="n"/>
      <c r="G15" s="115" t="n"/>
      <c r="H15" s="111">
        <f>IFERROR(G15/F15*100,"")</f>
        <v/>
      </c>
      <c r="I15" s="96" t="n"/>
      <c r="J15" s="96" t="n"/>
      <c r="K15" s="112">
        <f>IFERROR(J15/I15*100,"")</f>
        <v/>
      </c>
      <c r="L15" s="113">
        <f>IFERROR(G15/J15,"")</f>
        <v/>
      </c>
      <c r="M15" s="113">
        <f>IFERROR(G15/I15*1000,"")</f>
        <v/>
      </c>
      <c r="N15" s="96" t="n"/>
      <c r="O15" s="114">
        <f>IFERROR(G15/N15,"")</f>
        <v/>
      </c>
      <c r="P15" s="98" t="n"/>
      <c r="Q15" s="99" t="n"/>
    </row>
    <row r="16" ht="18" customHeight="1">
      <c r="A16" s="95" t="n"/>
      <c r="B16" s="95" t="n"/>
      <c r="C16" s="95" t="n"/>
      <c r="D16" s="95" t="n"/>
      <c r="E16" s="95" t="n"/>
      <c r="F16" s="110" t="n"/>
      <c r="G16" s="110" t="n"/>
      <c r="H16" s="111">
        <f>IFERROR(G16/F16*100,"")</f>
        <v/>
      </c>
      <c r="I16" s="92" t="n"/>
      <c r="J16" s="92" t="n"/>
      <c r="K16" s="112">
        <f>IFERROR(J16/I16*100,"")</f>
        <v/>
      </c>
      <c r="L16" s="113">
        <f>IFERROR(G16/J16,"")</f>
        <v/>
      </c>
      <c r="M16" s="113">
        <f>IFERROR(G16/I16*1000,"")</f>
        <v/>
      </c>
      <c r="N16" s="92" t="n"/>
      <c r="O16" s="114">
        <f>IFERROR(G16/N16,"")</f>
        <v/>
      </c>
      <c r="P16" s="94" t="n"/>
      <c r="Q16" s="95" t="n"/>
    </row>
    <row r="17" ht="18" customHeight="1">
      <c r="A17" s="99" t="n"/>
      <c r="B17" s="99" t="n"/>
      <c r="C17" s="99" t="n"/>
      <c r="D17" s="99" t="n"/>
      <c r="E17" s="99" t="n"/>
      <c r="F17" s="115" t="n"/>
      <c r="G17" s="115" t="n"/>
      <c r="H17" s="111">
        <f>IFERROR(G17/F17*100,"")</f>
        <v/>
      </c>
      <c r="I17" s="96" t="n"/>
      <c r="J17" s="96" t="n"/>
      <c r="K17" s="112">
        <f>IFERROR(J17/I17*100,"")</f>
        <v/>
      </c>
      <c r="L17" s="113">
        <f>IFERROR(G17/J17,"")</f>
        <v/>
      </c>
      <c r="M17" s="113">
        <f>IFERROR(G17/I17*1000,"")</f>
        <v/>
      </c>
      <c r="N17" s="96" t="n"/>
      <c r="O17" s="114">
        <f>IFERROR(G17/N17,"")</f>
        <v/>
      </c>
      <c r="P17" s="98" t="n"/>
      <c r="Q17" s="99" t="n"/>
    </row>
    <row r="18" ht="18" customHeight="1">
      <c r="A18" s="95" t="n"/>
      <c r="B18" s="95" t="n"/>
      <c r="C18" s="95" t="n"/>
      <c r="D18" s="95" t="n"/>
      <c r="E18" s="95" t="n"/>
      <c r="F18" s="110" t="n"/>
      <c r="G18" s="110" t="n"/>
      <c r="H18" s="111">
        <f>IFERROR(G18/F18*100,"")</f>
        <v/>
      </c>
      <c r="I18" s="92" t="n"/>
      <c r="J18" s="92" t="n"/>
      <c r="K18" s="112">
        <f>IFERROR(J18/I18*100,"")</f>
        <v/>
      </c>
      <c r="L18" s="113">
        <f>IFERROR(G18/J18,"")</f>
        <v/>
      </c>
      <c r="M18" s="113">
        <f>IFERROR(G18/I18*1000,"")</f>
        <v/>
      </c>
      <c r="N18" s="92" t="n"/>
      <c r="O18" s="114">
        <f>IFERROR(G18/N18,"")</f>
        <v/>
      </c>
      <c r="P18" s="94" t="n"/>
      <c r="Q18" s="95" t="n"/>
    </row>
    <row r="19" ht="18" customHeight="1">
      <c r="A19" s="99" t="n"/>
      <c r="B19" s="99" t="n"/>
      <c r="C19" s="99" t="n"/>
      <c r="D19" s="99" t="n"/>
      <c r="E19" s="99" t="n"/>
      <c r="F19" s="115" t="n"/>
      <c r="G19" s="115" t="n"/>
      <c r="H19" s="111">
        <f>IFERROR(G19/F19*100,"")</f>
        <v/>
      </c>
      <c r="I19" s="96" t="n"/>
      <c r="J19" s="96" t="n"/>
      <c r="K19" s="112">
        <f>IFERROR(J19/I19*100,"")</f>
        <v/>
      </c>
      <c r="L19" s="113">
        <f>IFERROR(G19/J19,"")</f>
        <v/>
      </c>
      <c r="M19" s="113">
        <f>IFERROR(G19/I19*1000,"")</f>
        <v/>
      </c>
      <c r="N19" s="96" t="n"/>
      <c r="O19" s="114">
        <f>IFERROR(G19/N19,"")</f>
        <v/>
      </c>
      <c r="P19" s="98" t="n"/>
      <c r="Q19" s="99" t="n"/>
    </row>
    <row r="20" ht="18" customHeight="1">
      <c r="A20" s="95" t="n"/>
      <c r="B20" s="95" t="n"/>
      <c r="C20" s="95" t="n"/>
      <c r="D20" s="95" t="n"/>
      <c r="E20" s="95" t="n"/>
      <c r="F20" s="110" t="n"/>
      <c r="G20" s="110" t="n"/>
      <c r="H20" s="111">
        <f>IFERROR(G20/F20*100,"")</f>
        <v/>
      </c>
      <c r="I20" s="92" t="n"/>
      <c r="J20" s="92" t="n"/>
      <c r="K20" s="112">
        <f>IFERROR(J20/I20*100,"")</f>
        <v/>
      </c>
      <c r="L20" s="113">
        <f>IFERROR(G20/J20,"")</f>
        <v/>
      </c>
      <c r="M20" s="113">
        <f>IFERROR(G20/I20*1000,"")</f>
        <v/>
      </c>
      <c r="N20" s="92" t="n"/>
      <c r="O20" s="114">
        <f>IFERROR(G20/N20,"")</f>
        <v/>
      </c>
      <c r="P20" s="94" t="n"/>
      <c r="Q20" s="95" t="n"/>
    </row>
    <row r="21" ht="18" customHeight="1">
      <c r="A21" s="99" t="n"/>
      <c r="B21" s="99" t="n"/>
      <c r="C21" s="99" t="n"/>
      <c r="D21" s="99" t="n"/>
      <c r="E21" s="99" t="n"/>
      <c r="F21" s="115" t="n"/>
      <c r="G21" s="115" t="n"/>
      <c r="H21" s="111">
        <f>IFERROR(G21/F21*100,"")</f>
        <v/>
      </c>
      <c r="I21" s="96" t="n"/>
      <c r="J21" s="96" t="n"/>
      <c r="K21" s="112">
        <f>IFERROR(J21/I21*100,"")</f>
        <v/>
      </c>
      <c r="L21" s="113">
        <f>IFERROR(G21/J21,"")</f>
        <v/>
      </c>
      <c r="M21" s="113">
        <f>IFERROR(G21/I21*1000,"")</f>
        <v/>
      </c>
      <c r="N21" s="96" t="n"/>
      <c r="O21" s="114">
        <f>IFERROR(G21/N21,"")</f>
        <v/>
      </c>
      <c r="P21" s="98" t="n"/>
      <c r="Q21" s="99" t="n"/>
    </row>
    <row r="22" ht="18" customHeight="1">
      <c r="A22" s="95" t="n"/>
      <c r="B22" s="95" t="n"/>
      <c r="C22" s="95" t="n"/>
      <c r="D22" s="95" t="n"/>
      <c r="E22" s="95" t="n"/>
      <c r="F22" s="110" t="n"/>
      <c r="G22" s="110" t="n"/>
      <c r="H22" s="111">
        <f>IFERROR(G22/F22*100,"")</f>
        <v/>
      </c>
      <c r="I22" s="92" t="n"/>
      <c r="J22" s="92" t="n"/>
      <c r="K22" s="112">
        <f>IFERROR(J22/I22*100,"")</f>
        <v/>
      </c>
      <c r="L22" s="113">
        <f>IFERROR(G22/J22,"")</f>
        <v/>
      </c>
      <c r="M22" s="113">
        <f>IFERROR(G22/I22*1000,"")</f>
        <v/>
      </c>
      <c r="N22" s="92" t="n"/>
      <c r="O22" s="114">
        <f>IFERROR(G22/N22,"")</f>
        <v/>
      </c>
      <c r="P22" s="94" t="n"/>
      <c r="Q22" s="95" t="n"/>
    </row>
    <row r="23" ht="18" customHeight="1">
      <c r="A23" s="99" t="n"/>
      <c r="B23" s="99" t="n"/>
      <c r="C23" s="99" t="n"/>
      <c r="D23" s="99" t="n"/>
      <c r="E23" s="99" t="n"/>
      <c r="F23" s="115" t="n"/>
      <c r="G23" s="115" t="n"/>
      <c r="H23" s="111">
        <f>IFERROR(G23/F23*100,"")</f>
        <v/>
      </c>
      <c r="I23" s="96" t="n"/>
      <c r="J23" s="96" t="n"/>
      <c r="K23" s="112">
        <f>IFERROR(J23/I23*100,"")</f>
        <v/>
      </c>
      <c r="L23" s="113">
        <f>IFERROR(G23/J23,"")</f>
        <v/>
      </c>
      <c r="M23" s="113">
        <f>IFERROR(G23/I23*1000,"")</f>
        <v/>
      </c>
      <c r="N23" s="96" t="n"/>
      <c r="O23" s="114">
        <f>IFERROR(G23/N23,"")</f>
        <v/>
      </c>
      <c r="P23" s="98" t="n"/>
      <c r="Q23" s="99" t="n"/>
    </row>
    <row r="24" ht="18" customHeight="1">
      <c r="A24" s="95" t="n"/>
      <c r="B24" s="95" t="n"/>
      <c r="C24" s="95" t="n"/>
      <c r="D24" s="95" t="n"/>
      <c r="E24" s="95" t="n"/>
      <c r="F24" s="110" t="n"/>
      <c r="G24" s="110" t="n"/>
      <c r="H24" s="111">
        <f>IFERROR(G24/F24*100,"")</f>
        <v/>
      </c>
      <c r="I24" s="92" t="n"/>
      <c r="J24" s="92" t="n"/>
      <c r="K24" s="112">
        <f>IFERROR(J24/I24*100,"")</f>
        <v/>
      </c>
      <c r="L24" s="113">
        <f>IFERROR(G24/J24,"")</f>
        <v/>
      </c>
      <c r="M24" s="113">
        <f>IFERROR(G24/I24*1000,"")</f>
        <v/>
      </c>
      <c r="N24" s="92" t="n"/>
      <c r="O24" s="114">
        <f>IFERROR(G24/N24,"")</f>
        <v/>
      </c>
      <c r="P24" s="94" t="n"/>
      <c r="Q24" s="95" t="n"/>
    </row>
    <row r="25" ht="18" customHeight="1">
      <c r="A25" s="99" t="n"/>
      <c r="B25" s="99" t="n"/>
      <c r="C25" s="99" t="n"/>
      <c r="D25" s="99" t="n"/>
      <c r="E25" s="99" t="n"/>
      <c r="F25" s="115" t="n"/>
      <c r="G25" s="115" t="n"/>
      <c r="H25" s="111">
        <f>IFERROR(G25/F25*100,"")</f>
        <v/>
      </c>
      <c r="I25" s="96" t="n"/>
      <c r="J25" s="96" t="n"/>
      <c r="K25" s="112">
        <f>IFERROR(J25/I25*100,"")</f>
        <v/>
      </c>
      <c r="L25" s="113">
        <f>IFERROR(G25/J25,"")</f>
        <v/>
      </c>
      <c r="M25" s="113">
        <f>IFERROR(G25/I25*1000,"")</f>
        <v/>
      </c>
      <c r="N25" s="96" t="n"/>
      <c r="O25" s="114">
        <f>IFERROR(G25/N25,"")</f>
        <v/>
      </c>
      <c r="P25" s="98" t="n"/>
      <c r="Q25" s="99" t="n"/>
    </row>
    <row r="26" ht="18" customHeight="1">
      <c r="A26" s="95" t="n"/>
      <c r="B26" s="95" t="n"/>
      <c r="C26" s="95" t="n"/>
      <c r="D26" s="95" t="n"/>
      <c r="E26" s="95" t="n"/>
      <c r="F26" s="110" t="n"/>
      <c r="G26" s="110" t="n"/>
      <c r="H26" s="111">
        <f>IFERROR(G26/F26*100,"")</f>
        <v/>
      </c>
      <c r="I26" s="92" t="n"/>
      <c r="J26" s="92" t="n"/>
      <c r="K26" s="112">
        <f>IFERROR(J26/I26*100,"")</f>
        <v/>
      </c>
      <c r="L26" s="113">
        <f>IFERROR(G26/J26,"")</f>
        <v/>
      </c>
      <c r="M26" s="113">
        <f>IFERROR(G26/I26*1000,"")</f>
        <v/>
      </c>
      <c r="N26" s="92" t="n"/>
      <c r="O26" s="114">
        <f>IFERROR(G26/N26,"")</f>
        <v/>
      </c>
      <c r="P26" s="94" t="n"/>
      <c r="Q26" s="95" t="n"/>
    </row>
    <row r="27" ht="18" customHeight="1">
      <c r="A27" s="99" t="n"/>
      <c r="B27" s="99" t="n"/>
      <c r="C27" s="99" t="n"/>
      <c r="D27" s="99" t="n"/>
      <c r="E27" s="99" t="n"/>
      <c r="F27" s="115" t="n"/>
      <c r="G27" s="115" t="n"/>
      <c r="H27" s="111">
        <f>IFERROR(G27/F27*100,"")</f>
        <v/>
      </c>
      <c r="I27" s="96" t="n"/>
      <c r="J27" s="96" t="n"/>
      <c r="K27" s="112">
        <f>IFERROR(J27/I27*100,"")</f>
        <v/>
      </c>
      <c r="L27" s="113">
        <f>IFERROR(G27/J27,"")</f>
        <v/>
      </c>
      <c r="M27" s="113">
        <f>IFERROR(G27/I27*1000,"")</f>
        <v/>
      </c>
      <c r="N27" s="96" t="n"/>
      <c r="O27" s="114">
        <f>IFERROR(G27/N27,"")</f>
        <v/>
      </c>
      <c r="P27" s="98" t="n"/>
      <c r="Q27" s="99" t="n"/>
    </row>
    <row r="28" ht="18" customHeight="1">
      <c r="A28" s="95" t="n"/>
      <c r="B28" s="95" t="n"/>
      <c r="C28" s="95" t="n"/>
      <c r="D28" s="95" t="n"/>
      <c r="E28" s="95" t="n"/>
      <c r="F28" s="110" t="n"/>
      <c r="G28" s="110" t="n"/>
      <c r="H28" s="111">
        <f>IFERROR(G28/F28*100,"")</f>
        <v/>
      </c>
      <c r="I28" s="92" t="n"/>
      <c r="J28" s="92" t="n"/>
      <c r="K28" s="112">
        <f>IFERROR(J28/I28*100,"")</f>
        <v/>
      </c>
      <c r="L28" s="113">
        <f>IFERROR(G28/J28,"")</f>
        <v/>
      </c>
      <c r="M28" s="113">
        <f>IFERROR(G28/I28*1000,"")</f>
        <v/>
      </c>
      <c r="N28" s="92" t="n"/>
      <c r="O28" s="114">
        <f>IFERROR(G28/N28,"")</f>
        <v/>
      </c>
      <c r="P28" s="94" t="n"/>
      <c r="Q28" s="95" t="n"/>
    </row>
    <row r="29" ht="18" customHeight="1">
      <c r="A29" s="99" t="n"/>
      <c r="B29" s="99" t="n"/>
      <c r="C29" s="99" t="n"/>
      <c r="D29" s="99" t="n"/>
      <c r="E29" s="99" t="n"/>
      <c r="F29" s="115" t="n"/>
      <c r="G29" s="115" t="n"/>
      <c r="H29" s="111">
        <f>IFERROR(G29/F29*100,"")</f>
        <v/>
      </c>
      <c r="I29" s="96" t="n"/>
      <c r="J29" s="96" t="n"/>
      <c r="K29" s="112">
        <f>IFERROR(J29/I29*100,"")</f>
        <v/>
      </c>
      <c r="L29" s="113">
        <f>IFERROR(G29/J29,"")</f>
        <v/>
      </c>
      <c r="M29" s="113">
        <f>IFERROR(G29/I29*1000,"")</f>
        <v/>
      </c>
      <c r="N29" s="96" t="n"/>
      <c r="O29" s="114">
        <f>IFERROR(G29/N29,"")</f>
        <v/>
      </c>
      <c r="P29" s="98" t="n"/>
      <c r="Q29" s="99" t="n"/>
    </row>
    <row r="30" ht="18" customHeight="1">
      <c r="A30" s="95" t="n"/>
      <c r="B30" s="95" t="n"/>
      <c r="C30" s="95" t="n"/>
      <c r="D30" s="95" t="n"/>
      <c r="E30" s="95" t="n"/>
      <c r="F30" s="110" t="n"/>
      <c r="G30" s="110" t="n"/>
      <c r="H30" s="111">
        <f>IFERROR(G30/F30*100,"")</f>
        <v/>
      </c>
      <c r="I30" s="92" t="n"/>
      <c r="J30" s="92" t="n"/>
      <c r="K30" s="112">
        <f>IFERROR(J30/I30*100,"")</f>
        <v/>
      </c>
      <c r="L30" s="113">
        <f>IFERROR(G30/J30,"")</f>
        <v/>
      </c>
      <c r="M30" s="113">
        <f>IFERROR(G30/I30*1000,"")</f>
        <v/>
      </c>
      <c r="N30" s="92" t="n"/>
      <c r="O30" s="114">
        <f>IFERROR(G30/N30,"")</f>
        <v/>
      </c>
      <c r="P30" s="94" t="n"/>
      <c r="Q30" s="95" t="n"/>
    </row>
    <row r="31" ht="18" customHeight="1">
      <c r="A31" s="99" t="n"/>
      <c r="B31" s="99" t="n"/>
      <c r="C31" s="99" t="n"/>
      <c r="D31" s="99" t="n"/>
      <c r="E31" s="99" t="n"/>
      <c r="F31" s="115" t="n"/>
      <c r="G31" s="115" t="n"/>
      <c r="H31" s="111">
        <f>IFERROR(G31/F31*100,"")</f>
        <v/>
      </c>
      <c r="I31" s="96" t="n"/>
      <c r="J31" s="96" t="n"/>
      <c r="K31" s="112">
        <f>IFERROR(J31/I31*100,"")</f>
        <v/>
      </c>
      <c r="L31" s="113">
        <f>IFERROR(G31/J31,"")</f>
        <v/>
      </c>
      <c r="M31" s="113">
        <f>IFERROR(G31/I31*1000,"")</f>
        <v/>
      </c>
      <c r="N31" s="96" t="n"/>
      <c r="O31" s="114">
        <f>IFERROR(G31/N31,"")</f>
        <v/>
      </c>
      <c r="P31" s="98" t="n"/>
      <c r="Q31" s="99" t="n"/>
    </row>
    <row r="32" ht="18" customHeight="1">
      <c r="A32" s="95" t="n"/>
      <c r="B32" s="95" t="n"/>
      <c r="C32" s="95" t="n"/>
      <c r="D32" s="95" t="n"/>
      <c r="E32" s="95" t="n"/>
      <c r="F32" s="110" t="n"/>
      <c r="G32" s="110" t="n"/>
      <c r="H32" s="111">
        <f>IFERROR(G32/F32*100,"")</f>
        <v/>
      </c>
      <c r="I32" s="92" t="n"/>
      <c r="J32" s="92" t="n"/>
      <c r="K32" s="112">
        <f>IFERROR(J32/I32*100,"")</f>
        <v/>
      </c>
      <c r="L32" s="113">
        <f>IFERROR(G32/J32,"")</f>
        <v/>
      </c>
      <c r="M32" s="113">
        <f>IFERROR(G32/I32*1000,"")</f>
        <v/>
      </c>
      <c r="N32" s="92" t="n"/>
      <c r="O32" s="114">
        <f>IFERROR(G32/N32,"")</f>
        <v/>
      </c>
      <c r="P32" s="94" t="n"/>
      <c r="Q32" s="95" t="n"/>
    </row>
    <row r="33" ht="18" customHeight="1">
      <c r="A33" s="99" t="n"/>
      <c r="B33" s="99" t="n"/>
      <c r="C33" s="99" t="n"/>
      <c r="D33" s="99" t="n"/>
      <c r="E33" s="99" t="n"/>
      <c r="F33" s="115" t="n"/>
      <c r="G33" s="115" t="n"/>
      <c r="H33" s="111">
        <f>IFERROR(G33/F33*100,"")</f>
        <v/>
      </c>
      <c r="I33" s="96" t="n"/>
      <c r="J33" s="96" t="n"/>
      <c r="K33" s="112">
        <f>IFERROR(J33/I33*100,"")</f>
        <v/>
      </c>
      <c r="L33" s="113">
        <f>IFERROR(G33/J33,"")</f>
        <v/>
      </c>
      <c r="M33" s="113">
        <f>IFERROR(G33/I33*1000,"")</f>
        <v/>
      </c>
      <c r="N33" s="96" t="n"/>
      <c r="O33" s="114">
        <f>IFERROR(G33/N33,"")</f>
        <v/>
      </c>
      <c r="P33" s="98" t="n"/>
      <c r="Q33" s="99" t="n"/>
    </row>
    <row r="34" ht="18" customHeight="1">
      <c r="A34" s="95" t="n"/>
      <c r="B34" s="95" t="n"/>
      <c r="C34" s="95" t="n"/>
      <c r="D34" s="95" t="n"/>
      <c r="E34" s="95" t="n"/>
      <c r="F34" s="110" t="n"/>
      <c r="G34" s="110" t="n"/>
      <c r="H34" s="111">
        <f>IFERROR(G34/F34*100,"")</f>
        <v/>
      </c>
      <c r="I34" s="92" t="n"/>
      <c r="J34" s="92" t="n"/>
      <c r="K34" s="112">
        <f>IFERROR(J34/I34*100,"")</f>
        <v/>
      </c>
      <c r="L34" s="113">
        <f>IFERROR(G34/J34,"")</f>
        <v/>
      </c>
      <c r="M34" s="113">
        <f>IFERROR(G34/I34*1000,"")</f>
        <v/>
      </c>
      <c r="N34" s="92" t="n"/>
      <c r="O34" s="114">
        <f>IFERROR(G34/N34,"")</f>
        <v/>
      </c>
      <c r="P34" s="94" t="n"/>
      <c r="Q34" s="95" t="n"/>
    </row>
    <row r="35" ht="18" customHeight="1">
      <c r="A35" s="99" t="n"/>
      <c r="B35" s="99" t="n"/>
      <c r="C35" s="99" t="n"/>
      <c r="D35" s="99" t="n"/>
      <c r="E35" s="99" t="n"/>
      <c r="F35" s="115" t="n"/>
      <c r="G35" s="115" t="n"/>
      <c r="H35" s="111">
        <f>IFERROR(G35/F35*100,"")</f>
        <v/>
      </c>
      <c r="I35" s="96" t="n"/>
      <c r="J35" s="96" t="n"/>
      <c r="K35" s="112">
        <f>IFERROR(J35/I35*100,"")</f>
        <v/>
      </c>
      <c r="L35" s="113">
        <f>IFERROR(G35/J35,"")</f>
        <v/>
      </c>
      <c r="M35" s="113">
        <f>IFERROR(G35/I35*1000,"")</f>
        <v/>
      </c>
      <c r="N35" s="96" t="n"/>
      <c r="O35" s="114">
        <f>IFERROR(G35/N35,"")</f>
        <v/>
      </c>
      <c r="P35" s="98" t="n"/>
      <c r="Q35" s="99" t="n"/>
    </row>
    <row r="36" ht="18" customHeight="1">
      <c r="A36" s="95" t="n"/>
      <c r="B36" s="95" t="n"/>
      <c r="C36" s="95" t="n"/>
      <c r="D36" s="95" t="n"/>
      <c r="E36" s="95" t="n"/>
      <c r="F36" s="110" t="n"/>
      <c r="G36" s="110" t="n"/>
      <c r="H36" s="111">
        <f>IFERROR(G36/F36*100,"")</f>
        <v/>
      </c>
      <c r="I36" s="92" t="n"/>
      <c r="J36" s="92" t="n"/>
      <c r="K36" s="112">
        <f>IFERROR(J36/I36*100,"")</f>
        <v/>
      </c>
      <c r="L36" s="113">
        <f>IFERROR(G36/J36,"")</f>
        <v/>
      </c>
      <c r="M36" s="113">
        <f>IFERROR(G36/I36*1000,"")</f>
        <v/>
      </c>
      <c r="N36" s="92" t="n"/>
      <c r="O36" s="114">
        <f>IFERROR(G36/N36,"")</f>
        <v/>
      </c>
      <c r="P36" s="94" t="n"/>
      <c r="Q36" s="95" t="n"/>
    </row>
    <row r="37" ht="18" customHeight="1">
      <c r="A37" s="99" t="n"/>
      <c r="B37" s="99" t="n"/>
      <c r="C37" s="99" t="n"/>
      <c r="D37" s="99" t="n"/>
      <c r="E37" s="99" t="n"/>
      <c r="F37" s="115" t="n"/>
      <c r="G37" s="115" t="n"/>
      <c r="H37" s="111">
        <f>IFERROR(G37/F37*100,"")</f>
        <v/>
      </c>
      <c r="I37" s="96" t="n"/>
      <c r="J37" s="96" t="n"/>
      <c r="K37" s="112">
        <f>IFERROR(J37/I37*100,"")</f>
        <v/>
      </c>
      <c r="L37" s="113">
        <f>IFERROR(G37/J37,"")</f>
        <v/>
      </c>
      <c r="M37" s="113">
        <f>IFERROR(G37/I37*1000,"")</f>
        <v/>
      </c>
      <c r="N37" s="96" t="n"/>
      <c r="O37" s="114">
        <f>IFERROR(G37/N37,"")</f>
        <v/>
      </c>
      <c r="P37" s="98" t="n"/>
      <c r="Q37" s="99" t="n"/>
    </row>
    <row r="38" ht="18" customHeight="1">
      <c r="A38" s="95" t="n"/>
      <c r="B38" s="95" t="n"/>
      <c r="C38" s="95" t="n"/>
      <c r="D38" s="95" t="n"/>
      <c r="E38" s="95" t="n"/>
      <c r="F38" s="110" t="n"/>
      <c r="G38" s="110" t="n"/>
      <c r="H38" s="111">
        <f>IFERROR(G38/F38*100,"")</f>
        <v/>
      </c>
      <c r="I38" s="92" t="n"/>
      <c r="J38" s="92" t="n"/>
      <c r="K38" s="112">
        <f>IFERROR(J38/I38*100,"")</f>
        <v/>
      </c>
      <c r="L38" s="113">
        <f>IFERROR(G38/J38,"")</f>
        <v/>
      </c>
      <c r="M38" s="113">
        <f>IFERROR(G38/I38*1000,"")</f>
        <v/>
      </c>
      <c r="N38" s="92" t="n"/>
      <c r="O38" s="114">
        <f>IFERROR(G38/N38,"")</f>
        <v/>
      </c>
      <c r="P38" s="94" t="n"/>
      <c r="Q38" s="95" t="n"/>
    </row>
    <row r="39" ht="18" customHeight="1">
      <c r="A39" s="99" t="n"/>
      <c r="B39" s="99" t="n"/>
      <c r="C39" s="99" t="n"/>
      <c r="D39" s="99" t="n"/>
      <c r="E39" s="99" t="n"/>
      <c r="F39" s="115" t="n"/>
      <c r="G39" s="115" t="n"/>
      <c r="H39" s="111">
        <f>IFERROR(G39/F39*100,"")</f>
        <v/>
      </c>
      <c r="I39" s="96" t="n"/>
      <c r="J39" s="96" t="n"/>
      <c r="K39" s="112">
        <f>IFERROR(J39/I39*100,"")</f>
        <v/>
      </c>
      <c r="L39" s="113">
        <f>IFERROR(G39/J39,"")</f>
        <v/>
      </c>
      <c r="M39" s="113">
        <f>IFERROR(G39/I39*1000,"")</f>
        <v/>
      </c>
      <c r="N39" s="96" t="n"/>
      <c r="O39" s="114">
        <f>IFERROR(G39/N39,"")</f>
        <v/>
      </c>
      <c r="P39" s="98" t="n"/>
      <c r="Q39" s="99" t="n"/>
    </row>
    <row r="40" ht="18" customHeight="1">
      <c r="A40" s="95" t="n"/>
      <c r="B40" s="95" t="n"/>
      <c r="C40" s="95" t="n"/>
      <c r="D40" s="95" t="n"/>
      <c r="E40" s="95" t="n"/>
      <c r="F40" s="110" t="n"/>
      <c r="G40" s="110" t="n"/>
      <c r="H40" s="111">
        <f>IFERROR(G40/F40*100,"")</f>
        <v/>
      </c>
      <c r="I40" s="92" t="n"/>
      <c r="J40" s="92" t="n"/>
      <c r="K40" s="112">
        <f>IFERROR(J40/I40*100,"")</f>
        <v/>
      </c>
      <c r="L40" s="113">
        <f>IFERROR(G40/J40,"")</f>
        <v/>
      </c>
      <c r="M40" s="113">
        <f>IFERROR(G40/I40*1000,"")</f>
        <v/>
      </c>
      <c r="N40" s="92" t="n"/>
      <c r="O40" s="114">
        <f>IFERROR(G40/N40,"")</f>
        <v/>
      </c>
      <c r="P40" s="94" t="n"/>
      <c r="Q40" s="95" t="n"/>
    </row>
    <row r="41" ht="18" customHeight="1">
      <c r="A41" s="99" t="n"/>
      <c r="B41" s="99" t="n"/>
      <c r="C41" s="99" t="n"/>
      <c r="D41" s="99" t="n"/>
      <c r="E41" s="99" t="n"/>
      <c r="F41" s="115" t="n"/>
      <c r="G41" s="115" t="n"/>
      <c r="H41" s="111">
        <f>IFERROR(G41/F41*100,"")</f>
        <v/>
      </c>
      <c r="I41" s="96" t="n"/>
      <c r="J41" s="96" t="n"/>
      <c r="K41" s="112">
        <f>IFERROR(J41/I41*100,"")</f>
        <v/>
      </c>
      <c r="L41" s="113">
        <f>IFERROR(G41/J41,"")</f>
        <v/>
      </c>
      <c r="M41" s="113">
        <f>IFERROR(G41/I41*1000,"")</f>
        <v/>
      </c>
      <c r="N41" s="96" t="n"/>
      <c r="O41" s="114">
        <f>IFERROR(G41/N41,"")</f>
        <v/>
      </c>
      <c r="P41" s="98" t="n"/>
      <c r="Q41" s="99" t="n"/>
    </row>
    <row r="42" ht="18" customHeight="1">
      <c r="A42" s="95" t="n"/>
      <c r="B42" s="95" t="n"/>
      <c r="C42" s="95" t="n"/>
      <c r="D42" s="95" t="n"/>
      <c r="E42" s="95" t="n"/>
      <c r="F42" s="110" t="n"/>
      <c r="G42" s="110" t="n"/>
      <c r="H42" s="111">
        <f>IFERROR(G42/F42*100,"")</f>
        <v/>
      </c>
      <c r="I42" s="92" t="n"/>
      <c r="J42" s="92" t="n"/>
      <c r="K42" s="112">
        <f>IFERROR(J42/I42*100,"")</f>
        <v/>
      </c>
      <c r="L42" s="113">
        <f>IFERROR(G42/J42,"")</f>
        <v/>
      </c>
      <c r="M42" s="113">
        <f>IFERROR(G42/I42*1000,"")</f>
        <v/>
      </c>
      <c r="N42" s="92" t="n"/>
      <c r="O42" s="114">
        <f>IFERROR(G42/N42,"")</f>
        <v/>
      </c>
      <c r="P42" s="94" t="n"/>
      <c r="Q42" s="95" t="n"/>
    </row>
    <row r="43" ht="18" customHeight="1">
      <c r="A43" s="99" t="n"/>
      <c r="B43" s="99" t="n"/>
      <c r="C43" s="99" t="n"/>
      <c r="D43" s="99" t="n"/>
      <c r="E43" s="99" t="n"/>
      <c r="F43" s="115" t="n"/>
      <c r="G43" s="115" t="n"/>
      <c r="H43" s="111">
        <f>IFERROR(G43/F43*100,"")</f>
        <v/>
      </c>
      <c r="I43" s="96" t="n"/>
      <c r="J43" s="96" t="n"/>
      <c r="K43" s="112">
        <f>IFERROR(J43/I43*100,"")</f>
        <v/>
      </c>
      <c r="L43" s="113">
        <f>IFERROR(G43/J43,"")</f>
        <v/>
      </c>
      <c r="M43" s="113">
        <f>IFERROR(G43/I43*1000,"")</f>
        <v/>
      </c>
      <c r="N43" s="96" t="n"/>
      <c r="O43" s="114">
        <f>IFERROR(G43/N43,"")</f>
        <v/>
      </c>
      <c r="P43" s="98" t="n"/>
      <c r="Q43" s="99" t="n"/>
    </row>
    <row r="44" ht="18" customHeight="1">
      <c r="A44" s="95" t="n"/>
      <c r="B44" s="95" t="n"/>
      <c r="C44" s="95" t="n"/>
      <c r="D44" s="95" t="n"/>
      <c r="E44" s="95" t="n"/>
      <c r="F44" s="110" t="n"/>
      <c r="G44" s="110" t="n"/>
      <c r="H44" s="111">
        <f>IFERROR(G44/F44*100,"")</f>
        <v/>
      </c>
      <c r="I44" s="92" t="n"/>
      <c r="J44" s="92" t="n"/>
      <c r="K44" s="112">
        <f>IFERROR(J44/I44*100,"")</f>
        <v/>
      </c>
      <c r="L44" s="113">
        <f>IFERROR(G44/J44,"")</f>
        <v/>
      </c>
      <c r="M44" s="113">
        <f>IFERROR(G44/I44*1000,"")</f>
        <v/>
      </c>
      <c r="N44" s="92" t="n"/>
      <c r="O44" s="114">
        <f>IFERROR(G44/N44,"")</f>
        <v/>
      </c>
      <c r="P44" s="94" t="n"/>
      <c r="Q44" s="95" t="n"/>
    </row>
    <row r="45" ht="18" customHeight="1">
      <c r="A45" s="99" t="n"/>
      <c r="B45" s="99" t="n"/>
      <c r="C45" s="99" t="n"/>
      <c r="D45" s="99" t="n"/>
      <c r="E45" s="99" t="n"/>
      <c r="F45" s="115" t="n"/>
      <c r="G45" s="115" t="n"/>
      <c r="H45" s="111">
        <f>IFERROR(G45/F45*100,"")</f>
        <v/>
      </c>
      <c r="I45" s="96" t="n"/>
      <c r="J45" s="96" t="n"/>
      <c r="K45" s="112">
        <f>IFERROR(J45/I45*100,"")</f>
        <v/>
      </c>
      <c r="L45" s="113">
        <f>IFERROR(G45/J45,"")</f>
        <v/>
      </c>
      <c r="M45" s="113">
        <f>IFERROR(G45/I45*1000,"")</f>
        <v/>
      </c>
      <c r="N45" s="96" t="n"/>
      <c r="O45" s="114">
        <f>IFERROR(G45/N45,"")</f>
        <v/>
      </c>
      <c r="P45" s="98" t="n"/>
      <c r="Q45" s="99" t="n"/>
    </row>
    <row r="46" ht="18" customHeight="1">
      <c r="A46" s="95" t="n"/>
      <c r="B46" s="95" t="n"/>
      <c r="C46" s="95" t="n"/>
      <c r="D46" s="95" t="n"/>
      <c r="E46" s="95" t="n"/>
      <c r="F46" s="110" t="n"/>
      <c r="G46" s="110" t="n"/>
      <c r="H46" s="111">
        <f>IFERROR(G46/F46*100,"")</f>
        <v/>
      </c>
      <c r="I46" s="92" t="n"/>
      <c r="J46" s="92" t="n"/>
      <c r="K46" s="112">
        <f>IFERROR(J46/I46*100,"")</f>
        <v/>
      </c>
      <c r="L46" s="113">
        <f>IFERROR(G46/J46,"")</f>
        <v/>
      </c>
      <c r="M46" s="113">
        <f>IFERROR(G46/I46*1000,"")</f>
        <v/>
      </c>
      <c r="N46" s="92" t="n"/>
      <c r="O46" s="114">
        <f>IFERROR(G46/N46,"")</f>
        <v/>
      </c>
      <c r="P46" s="94" t="n"/>
      <c r="Q46" s="95" t="n"/>
    </row>
    <row r="47" ht="18" customHeight="1">
      <c r="A47" s="99" t="n"/>
      <c r="B47" s="99" t="n"/>
      <c r="C47" s="99" t="n"/>
      <c r="D47" s="99" t="n"/>
      <c r="E47" s="99" t="n"/>
      <c r="F47" s="115" t="n"/>
      <c r="G47" s="115" t="n"/>
      <c r="H47" s="111">
        <f>IFERROR(G47/F47*100,"")</f>
        <v/>
      </c>
      <c r="I47" s="96" t="n"/>
      <c r="J47" s="96" t="n"/>
      <c r="K47" s="112">
        <f>IFERROR(J47/I47*100,"")</f>
        <v/>
      </c>
      <c r="L47" s="113">
        <f>IFERROR(G47/J47,"")</f>
        <v/>
      </c>
      <c r="M47" s="113">
        <f>IFERROR(G47/I47*1000,"")</f>
        <v/>
      </c>
      <c r="N47" s="96" t="n"/>
      <c r="O47" s="114">
        <f>IFERROR(G47/N47,"")</f>
        <v/>
      </c>
      <c r="P47" s="98" t="n"/>
      <c r="Q47" s="99" t="n"/>
    </row>
    <row r="48" ht="18" customHeight="1">
      <c r="A48" s="95" t="n"/>
      <c r="B48" s="95" t="n"/>
      <c r="C48" s="95" t="n"/>
      <c r="D48" s="95" t="n"/>
      <c r="E48" s="95" t="n"/>
      <c r="F48" s="110" t="n"/>
      <c r="G48" s="110" t="n"/>
      <c r="H48" s="111">
        <f>IFERROR(G48/F48*100,"")</f>
        <v/>
      </c>
      <c r="I48" s="92" t="n"/>
      <c r="J48" s="92" t="n"/>
      <c r="K48" s="112">
        <f>IFERROR(J48/I48*100,"")</f>
        <v/>
      </c>
      <c r="L48" s="113">
        <f>IFERROR(G48/J48,"")</f>
        <v/>
      </c>
      <c r="M48" s="113">
        <f>IFERROR(G48/I48*1000,"")</f>
        <v/>
      </c>
      <c r="N48" s="92" t="n"/>
      <c r="O48" s="114">
        <f>IFERROR(G48/N48,"")</f>
        <v/>
      </c>
      <c r="P48" s="94" t="n"/>
      <c r="Q48" s="95" t="n"/>
    </row>
    <row r="49" ht="18" customHeight="1">
      <c r="A49" s="99" t="n"/>
      <c r="B49" s="99" t="n"/>
      <c r="C49" s="99" t="n"/>
      <c r="D49" s="99" t="n"/>
      <c r="E49" s="99" t="n"/>
      <c r="F49" s="115" t="n"/>
      <c r="G49" s="115" t="n"/>
      <c r="H49" s="111">
        <f>IFERROR(G49/F49*100,"")</f>
        <v/>
      </c>
      <c r="I49" s="96" t="n"/>
      <c r="J49" s="96" t="n"/>
      <c r="K49" s="112">
        <f>IFERROR(J49/I49*100,"")</f>
        <v/>
      </c>
      <c r="L49" s="113">
        <f>IFERROR(G49/J49,"")</f>
        <v/>
      </c>
      <c r="M49" s="113">
        <f>IFERROR(G49/I49*1000,"")</f>
        <v/>
      </c>
      <c r="N49" s="96" t="n"/>
      <c r="O49" s="114">
        <f>IFERROR(G49/N49,"")</f>
        <v/>
      </c>
      <c r="P49" s="98" t="n"/>
      <c r="Q49" s="99" t="n"/>
    </row>
    <row r="50" ht="18" customHeight="1">
      <c r="A50" s="95" t="n"/>
      <c r="B50" s="95" t="n"/>
      <c r="C50" s="95" t="n"/>
      <c r="D50" s="95" t="n"/>
      <c r="E50" s="95" t="n"/>
      <c r="F50" s="110" t="n"/>
      <c r="G50" s="110" t="n"/>
      <c r="H50" s="111">
        <f>IFERROR(G50/F50*100,"")</f>
        <v/>
      </c>
      <c r="I50" s="92" t="n"/>
      <c r="J50" s="92" t="n"/>
      <c r="K50" s="112">
        <f>IFERROR(J50/I50*100,"")</f>
        <v/>
      </c>
      <c r="L50" s="113">
        <f>IFERROR(G50/J50,"")</f>
        <v/>
      </c>
      <c r="M50" s="113">
        <f>IFERROR(G50/I50*1000,"")</f>
        <v/>
      </c>
      <c r="N50" s="92" t="n"/>
      <c r="O50" s="114">
        <f>IFERROR(G50/N50,"")</f>
        <v/>
      </c>
      <c r="P50" s="94" t="n"/>
      <c r="Q50" s="95" t="n"/>
    </row>
    <row r="51" ht="18" customHeight="1">
      <c r="A51" s="99" t="n"/>
      <c r="B51" s="99" t="n"/>
      <c r="C51" s="99" t="n"/>
      <c r="D51" s="99" t="n"/>
      <c r="E51" s="99" t="n"/>
      <c r="F51" s="115" t="n"/>
      <c r="G51" s="115" t="n"/>
      <c r="H51" s="111">
        <f>IFERROR(G51/F51*100,"")</f>
        <v/>
      </c>
      <c r="I51" s="96" t="n"/>
      <c r="J51" s="96" t="n"/>
      <c r="K51" s="112">
        <f>IFERROR(J51/I51*100,"")</f>
        <v/>
      </c>
      <c r="L51" s="113">
        <f>IFERROR(G51/J51,"")</f>
        <v/>
      </c>
      <c r="M51" s="113">
        <f>IFERROR(G51/I51*1000,"")</f>
        <v/>
      </c>
      <c r="N51" s="96" t="n"/>
      <c r="O51" s="114">
        <f>IFERROR(G51/N51,"")</f>
        <v/>
      </c>
      <c r="P51" s="98" t="n"/>
      <c r="Q51" s="99" t="n"/>
    </row>
    <row r="52" ht="18" customHeight="1">
      <c r="A52" s="95" t="n"/>
      <c r="B52" s="95" t="n"/>
      <c r="C52" s="95" t="n"/>
      <c r="D52" s="95" t="n"/>
      <c r="E52" s="95" t="n"/>
      <c r="F52" s="110" t="n"/>
      <c r="G52" s="110" t="n"/>
      <c r="H52" s="111">
        <f>IFERROR(G52/F52*100,"")</f>
        <v/>
      </c>
      <c r="I52" s="92" t="n"/>
      <c r="J52" s="92" t="n"/>
      <c r="K52" s="112">
        <f>IFERROR(J52/I52*100,"")</f>
        <v/>
      </c>
      <c r="L52" s="113">
        <f>IFERROR(G52/J52,"")</f>
        <v/>
      </c>
      <c r="M52" s="113">
        <f>IFERROR(G52/I52*1000,"")</f>
        <v/>
      </c>
      <c r="N52" s="92" t="n"/>
      <c r="O52" s="114">
        <f>IFERROR(G52/N52,"")</f>
        <v/>
      </c>
      <c r="P52" s="94" t="n"/>
      <c r="Q52" s="95" t="n"/>
    </row>
    <row r="53" ht="18" customHeight="1">
      <c r="A53" s="99" t="n"/>
      <c r="B53" s="99" t="n"/>
      <c r="C53" s="99" t="n"/>
      <c r="D53" s="99" t="n"/>
      <c r="E53" s="99" t="n"/>
      <c r="F53" s="115" t="n"/>
      <c r="G53" s="115" t="n"/>
      <c r="H53" s="111">
        <f>IFERROR(G53/F53*100,"")</f>
        <v/>
      </c>
      <c r="I53" s="96" t="n"/>
      <c r="J53" s="96" t="n"/>
      <c r="K53" s="112">
        <f>IFERROR(J53/I53*100,"")</f>
        <v/>
      </c>
      <c r="L53" s="113">
        <f>IFERROR(G53/J53,"")</f>
        <v/>
      </c>
      <c r="M53" s="113">
        <f>IFERROR(G53/I53*1000,"")</f>
        <v/>
      </c>
      <c r="N53" s="96" t="n"/>
      <c r="O53" s="114">
        <f>IFERROR(G53/N53,"")</f>
        <v/>
      </c>
      <c r="P53" s="98" t="n"/>
      <c r="Q53" s="99" t="n"/>
    </row>
    <row r="54" ht="18" customHeight="1">
      <c r="A54" s="95" t="n"/>
      <c r="B54" s="95" t="n"/>
      <c r="C54" s="95" t="n"/>
      <c r="D54" s="95" t="n"/>
      <c r="E54" s="95" t="n"/>
      <c r="F54" s="110" t="n"/>
      <c r="G54" s="110" t="n"/>
      <c r="H54" s="111">
        <f>IFERROR(G54/F54*100,"")</f>
        <v/>
      </c>
      <c r="I54" s="92" t="n"/>
      <c r="J54" s="92" t="n"/>
      <c r="K54" s="112">
        <f>IFERROR(J54/I54*100,"")</f>
        <v/>
      </c>
      <c r="L54" s="113">
        <f>IFERROR(G54/J54,"")</f>
        <v/>
      </c>
      <c r="M54" s="113">
        <f>IFERROR(G54/I54*1000,"")</f>
        <v/>
      </c>
      <c r="N54" s="92" t="n"/>
      <c r="O54" s="114">
        <f>IFERROR(G54/N54,"")</f>
        <v/>
      </c>
      <c r="P54" s="94" t="n"/>
      <c r="Q54" s="95" t="n"/>
    </row>
    <row r="55" ht="18" customHeight="1">
      <c r="A55" s="99" t="n"/>
      <c r="B55" s="99" t="n"/>
      <c r="C55" s="99" t="n"/>
      <c r="D55" s="99" t="n"/>
      <c r="E55" s="99" t="n"/>
      <c r="F55" s="115" t="n"/>
      <c r="G55" s="115" t="n"/>
      <c r="H55" s="111">
        <f>IFERROR(G55/F55*100,"")</f>
        <v/>
      </c>
      <c r="I55" s="96" t="n"/>
      <c r="J55" s="96" t="n"/>
      <c r="K55" s="112">
        <f>IFERROR(J55/I55*100,"")</f>
        <v/>
      </c>
      <c r="L55" s="113">
        <f>IFERROR(G55/J55,"")</f>
        <v/>
      </c>
      <c r="M55" s="113">
        <f>IFERROR(G55/I55*1000,"")</f>
        <v/>
      </c>
      <c r="N55" s="96" t="n"/>
      <c r="O55" s="114">
        <f>IFERROR(G55/N55,"")</f>
        <v/>
      </c>
      <c r="P55" s="98" t="n"/>
      <c r="Q55" s="99" t="n"/>
    </row>
    <row r="56" ht="22" customHeight="1">
      <c r="A56" s="80" t="inlineStr">
        <is>
          <t>TOTALS</t>
        </is>
      </c>
      <c r="B56" s="2" t="n"/>
      <c r="F56" s="116">
        <f>SUM(F6:F55)</f>
        <v/>
      </c>
      <c r="G56" s="116">
        <f>SUM(G6:G55)</f>
        <v/>
      </c>
      <c r="I56" s="100">
        <f>SUM(I6:I55)</f>
        <v/>
      </c>
      <c r="J56" s="100">
        <f>SUM(J6:J55)</f>
        <v/>
      </c>
      <c r="K56" s="117">
        <f>IFERROR(AVERAGEIF(K6:K55,"&lt;&gt;"),"–")</f>
        <v/>
      </c>
      <c r="N56" s="100">
        <f>SUM(N6:N55)</f>
        <v/>
      </c>
      <c r="P56" s="117">
        <f>IFERROR(AVERAGEIF(P6:P55,"&lt;&gt;"),"–")</f>
        <v/>
      </c>
    </row>
  </sheetData>
  <mergeCells count="5">
    <mergeCell ref="A3:Q3"/>
    <mergeCell ref="A4:Q4"/>
    <mergeCell ref="A2:Q2"/>
    <mergeCell ref="A56:B56"/>
    <mergeCell ref="A1:Q1"/>
  </mergeCells>
  <dataValidations count="3">
    <dataValidation sqref="A6:A55" showDropDown="0" showInputMessage="0" showErrorMessage="0" allowBlank="1" type="list">
      <formula1>"Jan-25,Feb-25,Mar-25,Apr-25,May-25,Jun-25,Jul-25,Aug-25,Sep-25,Oct-25,Nov-25,Dec-25,Jan-26,Feb-26,Mar-26,Apr-26,May-26,Jun-26,Jul-26,Aug-26,Sep-26,Oct-26,Nov-26,Dec-26"</formula1>
    </dataValidation>
    <dataValidation sqref="C6:C55" showDropDown="0" showInputMessage="0" showErrorMessage="0" allowBlank="1" type="list">
      <formula1>"Meta (Facebook/Instagram),Google Ads,TikTok Ads,YouTube Ads,Display/Programmatic,Influencer,Other"</formula1>
    </dataValidation>
    <dataValidation sqref="E6:E55" showDropDown="0" showInputMessage="0" showErrorMessage="0" allowBlank="1" type="list">
      <formula1>"Brand Awareness,Reach,Engagement,Website Traffic,Lead Generation,Product Launch,Seasonal Promo,Retargeting"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22" customWidth="1" min="3" max="3"/>
    <col width="13" customWidth="1" min="4" max="4"/>
    <col width="12" customWidth="1" min="5" max="5"/>
    <col width="13" customWidth="1" min="6" max="6"/>
    <col width="10" customWidth="1" min="7" max="7"/>
    <col width="12" customWidth="1" min="8" max="8"/>
    <col width="10" customWidth="1" min="9" max="9"/>
    <col width="15" customWidth="1" min="10" max="10"/>
    <col width="14" customWidth="1" min="11" max="11"/>
    <col width="12" customWidth="1" min="12" max="12"/>
    <col width="18" customWidth="1" min="13" max="13"/>
    <col width="30" customWidth="1" min="14" max="14"/>
  </cols>
  <sheetData>
    <row r="1" ht="42" customHeight="1">
      <c r="A1" s="118" t="inlineStr">
        <is>
          <t xml:space="preserve">   📧  EMAIL MARKETING  —  Campaign Performance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1" t="n"/>
      <c r="K1" s="61" t="n"/>
      <c r="L1" s="61" t="n"/>
      <c r="M1" s="61" t="n"/>
      <c r="N1" s="61" t="n"/>
    </row>
    <row r="2" ht="22" customHeight="1">
      <c r="A2" s="119" t="inlineStr">
        <is>
          <t>One row per email campaign. Track deliverability, open rates, click performance and list health.</t>
        </is>
      </c>
      <c r="B2" s="64" t="n"/>
      <c r="C2" s="64" t="n"/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</row>
    <row r="3" ht="16" customHeight="1">
      <c r="A3" s="76" t="inlineStr">
        <is>
          <t>INVEGROW  |  Foods Line Marketing  |  Rates auto-calculate  |  Industry benchmarks: Open Rate 20–25% | CTR 2–5% | Unsub &lt; 0.5%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0" customHeight="1">
      <c r="A4" s="77" t="inlineStr">
        <is>
          <t>⚡  Delivery Rate = Delivered ÷ Sent  |  Open Rate = Opens ÷ Delivered  |  CTR = Clicks ÷ Delivered</t>
        </is>
      </c>
      <c r="B4" s="78" t="n"/>
      <c r="C4" s="78" t="n"/>
      <c r="D4" s="78" t="n"/>
      <c r="E4" s="78" t="n"/>
      <c r="F4" s="78" t="n"/>
      <c r="G4" s="78" t="n"/>
      <c r="H4" s="78" t="n"/>
      <c r="I4" s="78" t="n"/>
      <c r="J4" s="78" t="n"/>
      <c r="K4" s="78" t="n"/>
      <c r="L4" s="78" t="n"/>
      <c r="M4" s="78" t="n"/>
      <c r="N4" s="78" t="n"/>
    </row>
    <row r="5" ht="38" customHeight="1">
      <c r="A5" s="85" t="inlineStr">
        <is>
          <t>MONTH</t>
        </is>
      </c>
      <c r="B5" s="120" t="inlineStr">
        <is>
          <t>CAMPAIGN NAME</t>
        </is>
      </c>
      <c r="C5" s="120" t="inlineStr">
        <is>
          <t>LIST SEGMENT</t>
        </is>
      </c>
      <c r="D5" s="88" t="inlineStr">
        <is>
          <t>EMAILS SENT</t>
        </is>
      </c>
      <c r="E5" s="88" t="inlineStr">
        <is>
          <t>DELIVERED</t>
        </is>
      </c>
      <c r="F5" s="88" t="inlineStr">
        <is>
          <t>DELIVERY
RATE %</t>
        </is>
      </c>
      <c r="G5" s="86" t="inlineStr">
        <is>
          <t>OPENS</t>
        </is>
      </c>
      <c r="H5" s="86" t="inlineStr">
        <is>
          <t>OPEN
RATE %</t>
        </is>
      </c>
      <c r="I5" s="87" t="inlineStr">
        <is>
          <t>CLICKS</t>
        </is>
      </c>
      <c r="J5" s="87" t="inlineStr">
        <is>
          <t>CLICK-THROUGH
RATE %</t>
        </is>
      </c>
      <c r="K5" s="121" t="inlineStr">
        <is>
          <t>UNSUBSCRIBES</t>
        </is>
      </c>
      <c r="L5" s="121" t="inlineStr">
        <is>
          <t>UNSUB
RATE %</t>
        </is>
      </c>
      <c r="M5" s="89" t="inlineStr">
        <is>
          <t>CONVERSIONS
(if tracked)</t>
        </is>
      </c>
      <c r="N5" s="90" t="inlineStr">
        <is>
          <t>NOTES</t>
        </is>
      </c>
    </row>
    <row r="6" ht="18" customHeight="1">
      <c r="A6" s="95" t="n"/>
      <c r="B6" s="95" t="n"/>
      <c r="C6" s="95" t="n"/>
      <c r="D6" s="92" t="n"/>
      <c r="E6" s="92" t="n"/>
      <c r="F6" s="122">
        <f>IFERROR(E6/D6*100,"")</f>
        <v/>
      </c>
      <c r="G6" s="92" t="n"/>
      <c r="H6" s="123">
        <f>IFERROR(G6/E6*100,"")</f>
        <v/>
      </c>
      <c r="I6" s="92" t="n"/>
      <c r="J6" s="112">
        <f>IFERROR(I6/E6*100,"")</f>
        <v/>
      </c>
      <c r="K6" s="92" t="n"/>
      <c r="L6" s="124">
        <f>IFERROR(K6/E6*100,"")</f>
        <v/>
      </c>
      <c r="M6" s="92" t="n"/>
      <c r="N6" s="95" t="n"/>
    </row>
    <row r="7" ht="18" customHeight="1">
      <c r="A7" s="99" t="n"/>
      <c r="B7" s="99" t="n"/>
      <c r="C7" s="99" t="n"/>
      <c r="D7" s="96" t="n"/>
      <c r="E7" s="96" t="n"/>
      <c r="F7" s="122">
        <f>IFERROR(E7/D7*100,"")</f>
        <v/>
      </c>
      <c r="G7" s="96" t="n"/>
      <c r="H7" s="123">
        <f>IFERROR(G7/E7*100,"")</f>
        <v/>
      </c>
      <c r="I7" s="96" t="n"/>
      <c r="J7" s="112">
        <f>IFERROR(I7/E7*100,"")</f>
        <v/>
      </c>
      <c r="K7" s="96" t="n"/>
      <c r="L7" s="124">
        <f>IFERROR(K7/E7*100,"")</f>
        <v/>
      </c>
      <c r="M7" s="96" t="n"/>
      <c r="N7" s="99" t="n"/>
    </row>
    <row r="8" ht="18" customHeight="1">
      <c r="A8" s="95" t="n"/>
      <c r="B8" s="95" t="n"/>
      <c r="C8" s="95" t="n"/>
      <c r="D8" s="92" t="n"/>
      <c r="E8" s="92" t="n"/>
      <c r="F8" s="122">
        <f>IFERROR(E8/D8*100,"")</f>
        <v/>
      </c>
      <c r="G8" s="92" t="n"/>
      <c r="H8" s="123">
        <f>IFERROR(G8/E8*100,"")</f>
        <v/>
      </c>
      <c r="I8" s="92" t="n"/>
      <c r="J8" s="112">
        <f>IFERROR(I8/E8*100,"")</f>
        <v/>
      </c>
      <c r="K8" s="92" t="n"/>
      <c r="L8" s="124">
        <f>IFERROR(K8/E8*100,"")</f>
        <v/>
      </c>
      <c r="M8" s="92" t="n"/>
      <c r="N8" s="95" t="n"/>
    </row>
    <row r="9" ht="18" customHeight="1">
      <c r="A9" s="99" t="n"/>
      <c r="B9" s="99" t="n"/>
      <c r="C9" s="99" t="n"/>
      <c r="D9" s="96" t="n"/>
      <c r="E9" s="96" t="n"/>
      <c r="F9" s="122">
        <f>IFERROR(E9/D9*100,"")</f>
        <v/>
      </c>
      <c r="G9" s="96" t="n"/>
      <c r="H9" s="123">
        <f>IFERROR(G9/E9*100,"")</f>
        <v/>
      </c>
      <c r="I9" s="96" t="n"/>
      <c r="J9" s="112">
        <f>IFERROR(I9/E9*100,"")</f>
        <v/>
      </c>
      <c r="K9" s="96" t="n"/>
      <c r="L9" s="124">
        <f>IFERROR(K9/E9*100,"")</f>
        <v/>
      </c>
      <c r="M9" s="96" t="n"/>
      <c r="N9" s="99" t="n"/>
    </row>
    <row r="10" ht="18" customHeight="1">
      <c r="A10" s="95" t="n"/>
      <c r="B10" s="95" t="n"/>
      <c r="C10" s="95" t="n"/>
      <c r="D10" s="92" t="n"/>
      <c r="E10" s="92" t="n"/>
      <c r="F10" s="122">
        <f>IFERROR(E10/D10*100,"")</f>
        <v/>
      </c>
      <c r="G10" s="92" t="n"/>
      <c r="H10" s="123">
        <f>IFERROR(G10/E10*100,"")</f>
        <v/>
      </c>
      <c r="I10" s="92" t="n"/>
      <c r="J10" s="112">
        <f>IFERROR(I10/E10*100,"")</f>
        <v/>
      </c>
      <c r="K10" s="92" t="n"/>
      <c r="L10" s="124">
        <f>IFERROR(K10/E10*100,"")</f>
        <v/>
      </c>
      <c r="M10" s="92" t="n"/>
      <c r="N10" s="95" t="n"/>
    </row>
    <row r="11" ht="18" customHeight="1">
      <c r="A11" s="99" t="n"/>
      <c r="B11" s="99" t="n"/>
      <c r="C11" s="99" t="n"/>
      <c r="D11" s="96" t="n"/>
      <c r="E11" s="96" t="n"/>
      <c r="F11" s="122">
        <f>IFERROR(E11/D11*100,"")</f>
        <v/>
      </c>
      <c r="G11" s="96" t="n"/>
      <c r="H11" s="123">
        <f>IFERROR(G11/E11*100,"")</f>
        <v/>
      </c>
      <c r="I11" s="96" t="n"/>
      <c r="J11" s="112">
        <f>IFERROR(I11/E11*100,"")</f>
        <v/>
      </c>
      <c r="K11" s="96" t="n"/>
      <c r="L11" s="124">
        <f>IFERROR(K11/E11*100,"")</f>
        <v/>
      </c>
      <c r="M11" s="96" t="n"/>
      <c r="N11" s="99" t="n"/>
    </row>
    <row r="12" ht="18" customHeight="1">
      <c r="A12" s="95" t="n"/>
      <c r="B12" s="95" t="n"/>
      <c r="C12" s="95" t="n"/>
      <c r="D12" s="92" t="n"/>
      <c r="E12" s="92" t="n"/>
      <c r="F12" s="122">
        <f>IFERROR(E12/D12*100,"")</f>
        <v/>
      </c>
      <c r="G12" s="92" t="n"/>
      <c r="H12" s="123">
        <f>IFERROR(G12/E12*100,"")</f>
        <v/>
      </c>
      <c r="I12" s="92" t="n"/>
      <c r="J12" s="112">
        <f>IFERROR(I12/E12*100,"")</f>
        <v/>
      </c>
      <c r="K12" s="92" t="n"/>
      <c r="L12" s="124">
        <f>IFERROR(K12/E12*100,"")</f>
        <v/>
      </c>
      <c r="M12" s="92" t="n"/>
      <c r="N12" s="95" t="n"/>
    </row>
    <row r="13" ht="18" customHeight="1">
      <c r="A13" s="99" t="n"/>
      <c r="B13" s="99" t="n"/>
      <c r="C13" s="99" t="n"/>
      <c r="D13" s="96" t="n"/>
      <c r="E13" s="96" t="n"/>
      <c r="F13" s="122">
        <f>IFERROR(E13/D13*100,"")</f>
        <v/>
      </c>
      <c r="G13" s="96" t="n"/>
      <c r="H13" s="123">
        <f>IFERROR(G13/E13*100,"")</f>
        <v/>
      </c>
      <c r="I13" s="96" t="n"/>
      <c r="J13" s="112">
        <f>IFERROR(I13/E13*100,"")</f>
        <v/>
      </c>
      <c r="K13" s="96" t="n"/>
      <c r="L13" s="124">
        <f>IFERROR(K13/E13*100,"")</f>
        <v/>
      </c>
      <c r="M13" s="96" t="n"/>
      <c r="N13" s="99" t="n"/>
    </row>
    <row r="14" ht="18" customHeight="1">
      <c r="A14" s="95" t="n"/>
      <c r="B14" s="95" t="n"/>
      <c r="C14" s="95" t="n"/>
      <c r="D14" s="92" t="n"/>
      <c r="E14" s="92" t="n"/>
      <c r="F14" s="122">
        <f>IFERROR(E14/D14*100,"")</f>
        <v/>
      </c>
      <c r="G14" s="92" t="n"/>
      <c r="H14" s="123">
        <f>IFERROR(G14/E14*100,"")</f>
        <v/>
      </c>
      <c r="I14" s="92" t="n"/>
      <c r="J14" s="112">
        <f>IFERROR(I14/E14*100,"")</f>
        <v/>
      </c>
      <c r="K14" s="92" t="n"/>
      <c r="L14" s="124">
        <f>IFERROR(K14/E14*100,"")</f>
        <v/>
      </c>
      <c r="M14" s="92" t="n"/>
      <c r="N14" s="95" t="n"/>
    </row>
    <row r="15" ht="18" customHeight="1">
      <c r="A15" s="99" t="n"/>
      <c r="B15" s="99" t="n"/>
      <c r="C15" s="99" t="n"/>
      <c r="D15" s="96" t="n"/>
      <c r="E15" s="96" t="n"/>
      <c r="F15" s="122">
        <f>IFERROR(E15/D15*100,"")</f>
        <v/>
      </c>
      <c r="G15" s="96" t="n"/>
      <c r="H15" s="123">
        <f>IFERROR(G15/E15*100,"")</f>
        <v/>
      </c>
      <c r="I15" s="96" t="n"/>
      <c r="J15" s="112">
        <f>IFERROR(I15/E15*100,"")</f>
        <v/>
      </c>
      <c r="K15" s="96" t="n"/>
      <c r="L15" s="124">
        <f>IFERROR(K15/E15*100,"")</f>
        <v/>
      </c>
      <c r="M15" s="96" t="n"/>
      <c r="N15" s="99" t="n"/>
    </row>
    <row r="16" ht="18" customHeight="1">
      <c r="A16" s="95" t="n"/>
      <c r="B16" s="95" t="n"/>
      <c r="C16" s="95" t="n"/>
      <c r="D16" s="92" t="n"/>
      <c r="E16" s="92" t="n"/>
      <c r="F16" s="122">
        <f>IFERROR(E16/D16*100,"")</f>
        <v/>
      </c>
      <c r="G16" s="92" t="n"/>
      <c r="H16" s="123">
        <f>IFERROR(G16/E16*100,"")</f>
        <v/>
      </c>
      <c r="I16" s="92" t="n"/>
      <c r="J16" s="112">
        <f>IFERROR(I16/E16*100,"")</f>
        <v/>
      </c>
      <c r="K16" s="92" t="n"/>
      <c r="L16" s="124">
        <f>IFERROR(K16/E16*100,"")</f>
        <v/>
      </c>
      <c r="M16" s="92" t="n"/>
      <c r="N16" s="95" t="n"/>
    </row>
    <row r="17" ht="18" customHeight="1">
      <c r="A17" s="99" t="n"/>
      <c r="B17" s="99" t="n"/>
      <c r="C17" s="99" t="n"/>
      <c r="D17" s="96" t="n"/>
      <c r="E17" s="96" t="n"/>
      <c r="F17" s="122">
        <f>IFERROR(E17/D17*100,"")</f>
        <v/>
      </c>
      <c r="G17" s="96" t="n"/>
      <c r="H17" s="123">
        <f>IFERROR(G17/E17*100,"")</f>
        <v/>
      </c>
      <c r="I17" s="96" t="n"/>
      <c r="J17" s="112">
        <f>IFERROR(I17/E17*100,"")</f>
        <v/>
      </c>
      <c r="K17" s="96" t="n"/>
      <c r="L17" s="124">
        <f>IFERROR(K17/E17*100,"")</f>
        <v/>
      </c>
      <c r="M17" s="96" t="n"/>
      <c r="N17" s="99" t="n"/>
    </row>
    <row r="18" ht="18" customHeight="1">
      <c r="A18" s="95" t="n"/>
      <c r="B18" s="95" t="n"/>
      <c r="C18" s="95" t="n"/>
      <c r="D18" s="92" t="n"/>
      <c r="E18" s="92" t="n"/>
      <c r="F18" s="122">
        <f>IFERROR(E18/D18*100,"")</f>
        <v/>
      </c>
      <c r="G18" s="92" t="n"/>
      <c r="H18" s="123">
        <f>IFERROR(G18/E18*100,"")</f>
        <v/>
      </c>
      <c r="I18" s="92" t="n"/>
      <c r="J18" s="112">
        <f>IFERROR(I18/E18*100,"")</f>
        <v/>
      </c>
      <c r="K18" s="92" t="n"/>
      <c r="L18" s="124">
        <f>IFERROR(K18/E18*100,"")</f>
        <v/>
      </c>
      <c r="M18" s="92" t="n"/>
      <c r="N18" s="95" t="n"/>
    </row>
    <row r="19" ht="18" customHeight="1">
      <c r="A19" s="99" t="n"/>
      <c r="B19" s="99" t="n"/>
      <c r="C19" s="99" t="n"/>
      <c r="D19" s="96" t="n"/>
      <c r="E19" s="96" t="n"/>
      <c r="F19" s="122">
        <f>IFERROR(E19/D19*100,"")</f>
        <v/>
      </c>
      <c r="G19" s="96" t="n"/>
      <c r="H19" s="123">
        <f>IFERROR(G19/E19*100,"")</f>
        <v/>
      </c>
      <c r="I19" s="96" t="n"/>
      <c r="J19" s="112">
        <f>IFERROR(I19/E19*100,"")</f>
        <v/>
      </c>
      <c r="K19" s="96" t="n"/>
      <c r="L19" s="124">
        <f>IFERROR(K19/E19*100,"")</f>
        <v/>
      </c>
      <c r="M19" s="96" t="n"/>
      <c r="N19" s="99" t="n"/>
    </row>
    <row r="20" ht="18" customHeight="1">
      <c r="A20" s="95" t="n"/>
      <c r="B20" s="95" t="n"/>
      <c r="C20" s="95" t="n"/>
      <c r="D20" s="92" t="n"/>
      <c r="E20" s="92" t="n"/>
      <c r="F20" s="122">
        <f>IFERROR(E20/D20*100,"")</f>
        <v/>
      </c>
      <c r="G20" s="92" t="n"/>
      <c r="H20" s="123">
        <f>IFERROR(G20/E20*100,"")</f>
        <v/>
      </c>
      <c r="I20" s="92" t="n"/>
      <c r="J20" s="112">
        <f>IFERROR(I20/E20*100,"")</f>
        <v/>
      </c>
      <c r="K20" s="92" t="n"/>
      <c r="L20" s="124">
        <f>IFERROR(K20/E20*100,"")</f>
        <v/>
      </c>
      <c r="M20" s="92" t="n"/>
      <c r="N20" s="95" t="n"/>
    </row>
    <row r="21" ht="18" customHeight="1">
      <c r="A21" s="99" t="n"/>
      <c r="B21" s="99" t="n"/>
      <c r="C21" s="99" t="n"/>
      <c r="D21" s="96" t="n"/>
      <c r="E21" s="96" t="n"/>
      <c r="F21" s="122">
        <f>IFERROR(E21/D21*100,"")</f>
        <v/>
      </c>
      <c r="G21" s="96" t="n"/>
      <c r="H21" s="123">
        <f>IFERROR(G21/E21*100,"")</f>
        <v/>
      </c>
      <c r="I21" s="96" t="n"/>
      <c r="J21" s="112">
        <f>IFERROR(I21/E21*100,"")</f>
        <v/>
      </c>
      <c r="K21" s="96" t="n"/>
      <c r="L21" s="124">
        <f>IFERROR(K21/E21*100,"")</f>
        <v/>
      </c>
      <c r="M21" s="96" t="n"/>
      <c r="N21" s="99" t="n"/>
    </row>
    <row r="22" ht="18" customHeight="1">
      <c r="A22" s="95" t="n"/>
      <c r="B22" s="95" t="n"/>
      <c r="C22" s="95" t="n"/>
      <c r="D22" s="92" t="n"/>
      <c r="E22" s="92" t="n"/>
      <c r="F22" s="122">
        <f>IFERROR(E22/D22*100,"")</f>
        <v/>
      </c>
      <c r="G22" s="92" t="n"/>
      <c r="H22" s="123">
        <f>IFERROR(G22/E22*100,"")</f>
        <v/>
      </c>
      <c r="I22" s="92" t="n"/>
      <c r="J22" s="112">
        <f>IFERROR(I22/E22*100,"")</f>
        <v/>
      </c>
      <c r="K22" s="92" t="n"/>
      <c r="L22" s="124">
        <f>IFERROR(K22/E22*100,"")</f>
        <v/>
      </c>
      <c r="M22" s="92" t="n"/>
      <c r="N22" s="95" t="n"/>
    </row>
    <row r="23" ht="18" customHeight="1">
      <c r="A23" s="99" t="n"/>
      <c r="B23" s="99" t="n"/>
      <c r="C23" s="99" t="n"/>
      <c r="D23" s="96" t="n"/>
      <c r="E23" s="96" t="n"/>
      <c r="F23" s="122">
        <f>IFERROR(E23/D23*100,"")</f>
        <v/>
      </c>
      <c r="G23" s="96" t="n"/>
      <c r="H23" s="123">
        <f>IFERROR(G23/E23*100,"")</f>
        <v/>
      </c>
      <c r="I23" s="96" t="n"/>
      <c r="J23" s="112">
        <f>IFERROR(I23/E23*100,"")</f>
        <v/>
      </c>
      <c r="K23" s="96" t="n"/>
      <c r="L23" s="124">
        <f>IFERROR(K23/E23*100,"")</f>
        <v/>
      </c>
      <c r="M23" s="96" t="n"/>
      <c r="N23" s="99" t="n"/>
    </row>
    <row r="24" ht="18" customHeight="1">
      <c r="A24" s="95" t="n"/>
      <c r="B24" s="95" t="n"/>
      <c r="C24" s="95" t="n"/>
      <c r="D24" s="92" t="n"/>
      <c r="E24" s="92" t="n"/>
      <c r="F24" s="122">
        <f>IFERROR(E24/D24*100,"")</f>
        <v/>
      </c>
      <c r="G24" s="92" t="n"/>
      <c r="H24" s="123">
        <f>IFERROR(G24/E24*100,"")</f>
        <v/>
      </c>
      <c r="I24" s="92" t="n"/>
      <c r="J24" s="112">
        <f>IFERROR(I24/E24*100,"")</f>
        <v/>
      </c>
      <c r="K24" s="92" t="n"/>
      <c r="L24" s="124">
        <f>IFERROR(K24/E24*100,"")</f>
        <v/>
      </c>
      <c r="M24" s="92" t="n"/>
      <c r="N24" s="95" t="n"/>
    </row>
    <row r="25" ht="18" customHeight="1">
      <c r="A25" s="99" t="n"/>
      <c r="B25" s="99" t="n"/>
      <c r="C25" s="99" t="n"/>
      <c r="D25" s="96" t="n"/>
      <c r="E25" s="96" t="n"/>
      <c r="F25" s="122">
        <f>IFERROR(E25/D25*100,"")</f>
        <v/>
      </c>
      <c r="G25" s="96" t="n"/>
      <c r="H25" s="123">
        <f>IFERROR(G25/E25*100,"")</f>
        <v/>
      </c>
      <c r="I25" s="96" t="n"/>
      <c r="J25" s="112">
        <f>IFERROR(I25/E25*100,"")</f>
        <v/>
      </c>
      <c r="K25" s="96" t="n"/>
      <c r="L25" s="124">
        <f>IFERROR(K25/E25*100,"")</f>
        <v/>
      </c>
      <c r="M25" s="96" t="n"/>
      <c r="N25" s="99" t="n"/>
    </row>
    <row r="26" ht="18" customHeight="1">
      <c r="A26" s="95" t="n"/>
      <c r="B26" s="95" t="n"/>
      <c r="C26" s="95" t="n"/>
      <c r="D26" s="92" t="n"/>
      <c r="E26" s="92" t="n"/>
      <c r="F26" s="122">
        <f>IFERROR(E26/D26*100,"")</f>
        <v/>
      </c>
      <c r="G26" s="92" t="n"/>
      <c r="H26" s="123">
        <f>IFERROR(G26/E26*100,"")</f>
        <v/>
      </c>
      <c r="I26" s="92" t="n"/>
      <c r="J26" s="112">
        <f>IFERROR(I26/E26*100,"")</f>
        <v/>
      </c>
      <c r="K26" s="92" t="n"/>
      <c r="L26" s="124">
        <f>IFERROR(K26/E26*100,"")</f>
        <v/>
      </c>
      <c r="M26" s="92" t="n"/>
      <c r="N26" s="95" t="n"/>
    </row>
    <row r="27" ht="18" customHeight="1">
      <c r="A27" s="99" t="n"/>
      <c r="B27" s="99" t="n"/>
      <c r="C27" s="99" t="n"/>
      <c r="D27" s="96" t="n"/>
      <c r="E27" s="96" t="n"/>
      <c r="F27" s="122">
        <f>IFERROR(E27/D27*100,"")</f>
        <v/>
      </c>
      <c r="G27" s="96" t="n"/>
      <c r="H27" s="123">
        <f>IFERROR(G27/E27*100,"")</f>
        <v/>
      </c>
      <c r="I27" s="96" t="n"/>
      <c r="J27" s="112">
        <f>IFERROR(I27/E27*100,"")</f>
        <v/>
      </c>
      <c r="K27" s="96" t="n"/>
      <c r="L27" s="124">
        <f>IFERROR(K27/E27*100,"")</f>
        <v/>
      </c>
      <c r="M27" s="96" t="n"/>
      <c r="N27" s="99" t="n"/>
    </row>
    <row r="28" ht="18" customHeight="1">
      <c r="A28" s="95" t="n"/>
      <c r="B28" s="95" t="n"/>
      <c r="C28" s="95" t="n"/>
      <c r="D28" s="92" t="n"/>
      <c r="E28" s="92" t="n"/>
      <c r="F28" s="122">
        <f>IFERROR(E28/D28*100,"")</f>
        <v/>
      </c>
      <c r="G28" s="92" t="n"/>
      <c r="H28" s="123">
        <f>IFERROR(G28/E28*100,"")</f>
        <v/>
      </c>
      <c r="I28" s="92" t="n"/>
      <c r="J28" s="112">
        <f>IFERROR(I28/E28*100,"")</f>
        <v/>
      </c>
      <c r="K28" s="92" t="n"/>
      <c r="L28" s="124">
        <f>IFERROR(K28/E28*100,"")</f>
        <v/>
      </c>
      <c r="M28" s="92" t="n"/>
      <c r="N28" s="95" t="n"/>
    </row>
    <row r="29" ht="18" customHeight="1">
      <c r="A29" s="99" t="n"/>
      <c r="B29" s="99" t="n"/>
      <c r="C29" s="99" t="n"/>
      <c r="D29" s="96" t="n"/>
      <c r="E29" s="96" t="n"/>
      <c r="F29" s="122">
        <f>IFERROR(E29/D29*100,"")</f>
        <v/>
      </c>
      <c r="G29" s="96" t="n"/>
      <c r="H29" s="123">
        <f>IFERROR(G29/E29*100,"")</f>
        <v/>
      </c>
      <c r="I29" s="96" t="n"/>
      <c r="J29" s="112">
        <f>IFERROR(I29/E29*100,"")</f>
        <v/>
      </c>
      <c r="K29" s="96" t="n"/>
      <c r="L29" s="124">
        <f>IFERROR(K29/E29*100,"")</f>
        <v/>
      </c>
      <c r="M29" s="96" t="n"/>
      <c r="N29" s="99" t="n"/>
    </row>
    <row r="30" ht="18" customHeight="1">
      <c r="A30" s="95" t="n"/>
      <c r="B30" s="95" t="n"/>
      <c r="C30" s="95" t="n"/>
      <c r="D30" s="92" t="n"/>
      <c r="E30" s="92" t="n"/>
      <c r="F30" s="122">
        <f>IFERROR(E30/D30*100,"")</f>
        <v/>
      </c>
      <c r="G30" s="92" t="n"/>
      <c r="H30" s="123">
        <f>IFERROR(G30/E30*100,"")</f>
        <v/>
      </c>
      <c r="I30" s="92" t="n"/>
      <c r="J30" s="112">
        <f>IFERROR(I30/E30*100,"")</f>
        <v/>
      </c>
      <c r="K30" s="92" t="n"/>
      <c r="L30" s="124">
        <f>IFERROR(K30/E30*100,"")</f>
        <v/>
      </c>
      <c r="M30" s="92" t="n"/>
      <c r="N30" s="95" t="n"/>
    </row>
    <row r="31" ht="18" customHeight="1">
      <c r="A31" s="99" t="n"/>
      <c r="B31" s="99" t="n"/>
      <c r="C31" s="99" t="n"/>
      <c r="D31" s="96" t="n"/>
      <c r="E31" s="96" t="n"/>
      <c r="F31" s="122">
        <f>IFERROR(E31/D31*100,"")</f>
        <v/>
      </c>
      <c r="G31" s="96" t="n"/>
      <c r="H31" s="123">
        <f>IFERROR(G31/E31*100,"")</f>
        <v/>
      </c>
      <c r="I31" s="96" t="n"/>
      <c r="J31" s="112">
        <f>IFERROR(I31/E31*100,"")</f>
        <v/>
      </c>
      <c r="K31" s="96" t="n"/>
      <c r="L31" s="124">
        <f>IFERROR(K31/E31*100,"")</f>
        <v/>
      </c>
      <c r="M31" s="96" t="n"/>
      <c r="N31" s="99" t="n"/>
    </row>
    <row r="32" ht="18" customHeight="1">
      <c r="A32" s="95" t="n"/>
      <c r="B32" s="95" t="n"/>
      <c r="C32" s="95" t="n"/>
      <c r="D32" s="92" t="n"/>
      <c r="E32" s="92" t="n"/>
      <c r="F32" s="122">
        <f>IFERROR(E32/D32*100,"")</f>
        <v/>
      </c>
      <c r="G32" s="92" t="n"/>
      <c r="H32" s="123">
        <f>IFERROR(G32/E32*100,"")</f>
        <v/>
      </c>
      <c r="I32" s="92" t="n"/>
      <c r="J32" s="112">
        <f>IFERROR(I32/E32*100,"")</f>
        <v/>
      </c>
      <c r="K32" s="92" t="n"/>
      <c r="L32" s="124">
        <f>IFERROR(K32/E32*100,"")</f>
        <v/>
      </c>
      <c r="M32" s="92" t="n"/>
      <c r="N32" s="95" t="n"/>
    </row>
    <row r="33" ht="18" customHeight="1">
      <c r="A33" s="99" t="n"/>
      <c r="B33" s="99" t="n"/>
      <c r="C33" s="99" t="n"/>
      <c r="D33" s="96" t="n"/>
      <c r="E33" s="96" t="n"/>
      <c r="F33" s="122">
        <f>IFERROR(E33/D33*100,"")</f>
        <v/>
      </c>
      <c r="G33" s="96" t="n"/>
      <c r="H33" s="123">
        <f>IFERROR(G33/E33*100,"")</f>
        <v/>
      </c>
      <c r="I33" s="96" t="n"/>
      <c r="J33" s="112">
        <f>IFERROR(I33/E33*100,"")</f>
        <v/>
      </c>
      <c r="K33" s="96" t="n"/>
      <c r="L33" s="124">
        <f>IFERROR(K33/E33*100,"")</f>
        <v/>
      </c>
      <c r="M33" s="96" t="n"/>
      <c r="N33" s="99" t="n"/>
    </row>
    <row r="34" ht="18" customHeight="1">
      <c r="A34" s="95" t="n"/>
      <c r="B34" s="95" t="n"/>
      <c r="C34" s="95" t="n"/>
      <c r="D34" s="92" t="n"/>
      <c r="E34" s="92" t="n"/>
      <c r="F34" s="122">
        <f>IFERROR(E34/D34*100,"")</f>
        <v/>
      </c>
      <c r="G34" s="92" t="n"/>
      <c r="H34" s="123">
        <f>IFERROR(G34/E34*100,"")</f>
        <v/>
      </c>
      <c r="I34" s="92" t="n"/>
      <c r="J34" s="112">
        <f>IFERROR(I34/E34*100,"")</f>
        <v/>
      </c>
      <c r="K34" s="92" t="n"/>
      <c r="L34" s="124">
        <f>IFERROR(K34/E34*100,"")</f>
        <v/>
      </c>
      <c r="M34" s="92" t="n"/>
      <c r="N34" s="95" t="n"/>
    </row>
    <row r="35" ht="18" customHeight="1">
      <c r="A35" s="99" t="n"/>
      <c r="B35" s="99" t="n"/>
      <c r="C35" s="99" t="n"/>
      <c r="D35" s="96" t="n"/>
      <c r="E35" s="96" t="n"/>
      <c r="F35" s="122">
        <f>IFERROR(E35/D35*100,"")</f>
        <v/>
      </c>
      <c r="G35" s="96" t="n"/>
      <c r="H35" s="123">
        <f>IFERROR(G35/E35*100,"")</f>
        <v/>
      </c>
      <c r="I35" s="96" t="n"/>
      <c r="J35" s="112">
        <f>IFERROR(I35/E35*100,"")</f>
        <v/>
      </c>
      <c r="K35" s="96" t="n"/>
      <c r="L35" s="124">
        <f>IFERROR(K35/E35*100,"")</f>
        <v/>
      </c>
      <c r="M35" s="96" t="n"/>
      <c r="N35" s="99" t="n"/>
    </row>
    <row r="36" ht="18" customHeight="1">
      <c r="A36" s="95" t="n"/>
      <c r="B36" s="95" t="n"/>
      <c r="C36" s="95" t="n"/>
      <c r="D36" s="92" t="n"/>
      <c r="E36" s="92" t="n"/>
      <c r="F36" s="122">
        <f>IFERROR(E36/D36*100,"")</f>
        <v/>
      </c>
      <c r="G36" s="92" t="n"/>
      <c r="H36" s="123">
        <f>IFERROR(G36/E36*100,"")</f>
        <v/>
      </c>
      <c r="I36" s="92" t="n"/>
      <c r="J36" s="112">
        <f>IFERROR(I36/E36*100,"")</f>
        <v/>
      </c>
      <c r="K36" s="92" t="n"/>
      <c r="L36" s="124">
        <f>IFERROR(K36/E36*100,"")</f>
        <v/>
      </c>
      <c r="M36" s="92" t="n"/>
      <c r="N36" s="95" t="n"/>
    </row>
    <row r="37" ht="18" customHeight="1">
      <c r="A37" s="99" t="n"/>
      <c r="B37" s="99" t="n"/>
      <c r="C37" s="99" t="n"/>
      <c r="D37" s="96" t="n"/>
      <c r="E37" s="96" t="n"/>
      <c r="F37" s="122">
        <f>IFERROR(E37/D37*100,"")</f>
        <v/>
      </c>
      <c r="G37" s="96" t="n"/>
      <c r="H37" s="123">
        <f>IFERROR(G37/E37*100,"")</f>
        <v/>
      </c>
      <c r="I37" s="96" t="n"/>
      <c r="J37" s="112">
        <f>IFERROR(I37/E37*100,"")</f>
        <v/>
      </c>
      <c r="K37" s="96" t="n"/>
      <c r="L37" s="124">
        <f>IFERROR(K37/E37*100,"")</f>
        <v/>
      </c>
      <c r="M37" s="96" t="n"/>
      <c r="N37" s="99" t="n"/>
    </row>
    <row r="38" ht="18" customHeight="1">
      <c r="A38" s="95" t="n"/>
      <c r="B38" s="95" t="n"/>
      <c r="C38" s="95" t="n"/>
      <c r="D38" s="92" t="n"/>
      <c r="E38" s="92" t="n"/>
      <c r="F38" s="122">
        <f>IFERROR(E38/D38*100,"")</f>
        <v/>
      </c>
      <c r="G38" s="92" t="n"/>
      <c r="H38" s="123">
        <f>IFERROR(G38/E38*100,"")</f>
        <v/>
      </c>
      <c r="I38" s="92" t="n"/>
      <c r="J38" s="112">
        <f>IFERROR(I38/E38*100,"")</f>
        <v/>
      </c>
      <c r="K38" s="92" t="n"/>
      <c r="L38" s="124">
        <f>IFERROR(K38/E38*100,"")</f>
        <v/>
      </c>
      <c r="M38" s="92" t="n"/>
      <c r="N38" s="95" t="n"/>
    </row>
    <row r="39" ht="18" customHeight="1">
      <c r="A39" s="99" t="n"/>
      <c r="B39" s="99" t="n"/>
      <c r="C39" s="99" t="n"/>
      <c r="D39" s="96" t="n"/>
      <c r="E39" s="96" t="n"/>
      <c r="F39" s="122">
        <f>IFERROR(E39/D39*100,"")</f>
        <v/>
      </c>
      <c r="G39" s="96" t="n"/>
      <c r="H39" s="123">
        <f>IFERROR(G39/E39*100,"")</f>
        <v/>
      </c>
      <c r="I39" s="96" t="n"/>
      <c r="J39" s="112">
        <f>IFERROR(I39/E39*100,"")</f>
        <v/>
      </c>
      <c r="K39" s="96" t="n"/>
      <c r="L39" s="124">
        <f>IFERROR(K39/E39*100,"")</f>
        <v/>
      </c>
      <c r="M39" s="96" t="n"/>
      <c r="N39" s="99" t="n"/>
    </row>
    <row r="40" ht="18" customHeight="1">
      <c r="A40" s="95" t="n"/>
      <c r="B40" s="95" t="n"/>
      <c r="C40" s="95" t="n"/>
      <c r="D40" s="92" t="n"/>
      <c r="E40" s="92" t="n"/>
      <c r="F40" s="122">
        <f>IFERROR(E40/D40*100,"")</f>
        <v/>
      </c>
      <c r="G40" s="92" t="n"/>
      <c r="H40" s="123">
        <f>IFERROR(G40/E40*100,"")</f>
        <v/>
      </c>
      <c r="I40" s="92" t="n"/>
      <c r="J40" s="112">
        <f>IFERROR(I40/E40*100,"")</f>
        <v/>
      </c>
      <c r="K40" s="92" t="n"/>
      <c r="L40" s="124">
        <f>IFERROR(K40/E40*100,"")</f>
        <v/>
      </c>
      <c r="M40" s="92" t="n"/>
      <c r="N40" s="95" t="n"/>
    </row>
    <row r="41" ht="18" customHeight="1">
      <c r="A41" s="99" t="n"/>
      <c r="B41" s="99" t="n"/>
      <c r="C41" s="99" t="n"/>
      <c r="D41" s="96" t="n"/>
      <c r="E41" s="96" t="n"/>
      <c r="F41" s="122">
        <f>IFERROR(E41/D41*100,"")</f>
        <v/>
      </c>
      <c r="G41" s="96" t="n"/>
      <c r="H41" s="123">
        <f>IFERROR(G41/E41*100,"")</f>
        <v/>
      </c>
      <c r="I41" s="96" t="n"/>
      <c r="J41" s="112">
        <f>IFERROR(I41/E41*100,"")</f>
        <v/>
      </c>
      <c r="K41" s="96" t="n"/>
      <c r="L41" s="124">
        <f>IFERROR(K41/E41*100,"")</f>
        <v/>
      </c>
      <c r="M41" s="96" t="n"/>
      <c r="N41" s="99" t="n"/>
    </row>
    <row r="42" ht="18" customHeight="1">
      <c r="A42" s="95" t="n"/>
      <c r="B42" s="95" t="n"/>
      <c r="C42" s="95" t="n"/>
      <c r="D42" s="92" t="n"/>
      <c r="E42" s="92" t="n"/>
      <c r="F42" s="122">
        <f>IFERROR(E42/D42*100,"")</f>
        <v/>
      </c>
      <c r="G42" s="92" t="n"/>
      <c r="H42" s="123">
        <f>IFERROR(G42/E42*100,"")</f>
        <v/>
      </c>
      <c r="I42" s="92" t="n"/>
      <c r="J42" s="112">
        <f>IFERROR(I42/E42*100,"")</f>
        <v/>
      </c>
      <c r="K42" s="92" t="n"/>
      <c r="L42" s="124">
        <f>IFERROR(K42/E42*100,"")</f>
        <v/>
      </c>
      <c r="M42" s="92" t="n"/>
      <c r="N42" s="95" t="n"/>
    </row>
    <row r="43" ht="18" customHeight="1">
      <c r="A43" s="99" t="n"/>
      <c r="B43" s="99" t="n"/>
      <c r="C43" s="99" t="n"/>
      <c r="D43" s="96" t="n"/>
      <c r="E43" s="96" t="n"/>
      <c r="F43" s="122">
        <f>IFERROR(E43/D43*100,"")</f>
        <v/>
      </c>
      <c r="G43" s="96" t="n"/>
      <c r="H43" s="123">
        <f>IFERROR(G43/E43*100,"")</f>
        <v/>
      </c>
      <c r="I43" s="96" t="n"/>
      <c r="J43" s="112">
        <f>IFERROR(I43/E43*100,"")</f>
        <v/>
      </c>
      <c r="K43" s="96" t="n"/>
      <c r="L43" s="124">
        <f>IFERROR(K43/E43*100,"")</f>
        <v/>
      </c>
      <c r="M43" s="96" t="n"/>
      <c r="N43" s="99" t="n"/>
    </row>
    <row r="44" ht="18" customHeight="1">
      <c r="A44" s="95" t="n"/>
      <c r="B44" s="95" t="n"/>
      <c r="C44" s="95" t="n"/>
      <c r="D44" s="92" t="n"/>
      <c r="E44" s="92" t="n"/>
      <c r="F44" s="122">
        <f>IFERROR(E44/D44*100,"")</f>
        <v/>
      </c>
      <c r="G44" s="92" t="n"/>
      <c r="H44" s="123">
        <f>IFERROR(G44/E44*100,"")</f>
        <v/>
      </c>
      <c r="I44" s="92" t="n"/>
      <c r="J44" s="112">
        <f>IFERROR(I44/E44*100,"")</f>
        <v/>
      </c>
      <c r="K44" s="92" t="n"/>
      <c r="L44" s="124">
        <f>IFERROR(K44/E44*100,"")</f>
        <v/>
      </c>
      <c r="M44" s="92" t="n"/>
      <c r="N44" s="95" t="n"/>
    </row>
    <row r="45" ht="18" customHeight="1">
      <c r="A45" s="99" t="n"/>
      <c r="B45" s="99" t="n"/>
      <c r="C45" s="99" t="n"/>
      <c r="D45" s="96" t="n"/>
      <c r="E45" s="96" t="n"/>
      <c r="F45" s="122">
        <f>IFERROR(E45/D45*100,"")</f>
        <v/>
      </c>
      <c r="G45" s="96" t="n"/>
      <c r="H45" s="123">
        <f>IFERROR(G45/E45*100,"")</f>
        <v/>
      </c>
      <c r="I45" s="96" t="n"/>
      <c r="J45" s="112">
        <f>IFERROR(I45/E45*100,"")</f>
        <v/>
      </c>
      <c r="K45" s="96" t="n"/>
      <c r="L45" s="124">
        <f>IFERROR(K45/E45*100,"")</f>
        <v/>
      </c>
      <c r="M45" s="96" t="n"/>
      <c r="N45" s="99" t="n"/>
    </row>
    <row r="46" ht="18" customHeight="1">
      <c r="A46" s="95" t="n"/>
      <c r="B46" s="95" t="n"/>
      <c r="C46" s="95" t="n"/>
      <c r="D46" s="92" t="n"/>
      <c r="E46" s="92" t="n"/>
      <c r="F46" s="122">
        <f>IFERROR(E46/D46*100,"")</f>
        <v/>
      </c>
      <c r="G46" s="92" t="n"/>
      <c r="H46" s="123">
        <f>IFERROR(G46/E46*100,"")</f>
        <v/>
      </c>
      <c r="I46" s="92" t="n"/>
      <c r="J46" s="112">
        <f>IFERROR(I46/E46*100,"")</f>
        <v/>
      </c>
      <c r="K46" s="92" t="n"/>
      <c r="L46" s="124">
        <f>IFERROR(K46/E46*100,"")</f>
        <v/>
      </c>
      <c r="M46" s="92" t="n"/>
      <c r="N46" s="95" t="n"/>
    </row>
    <row r="47" ht="18" customHeight="1">
      <c r="A47" s="99" t="n"/>
      <c r="B47" s="99" t="n"/>
      <c r="C47" s="99" t="n"/>
      <c r="D47" s="96" t="n"/>
      <c r="E47" s="96" t="n"/>
      <c r="F47" s="122">
        <f>IFERROR(E47/D47*100,"")</f>
        <v/>
      </c>
      <c r="G47" s="96" t="n"/>
      <c r="H47" s="123">
        <f>IFERROR(G47/E47*100,"")</f>
        <v/>
      </c>
      <c r="I47" s="96" t="n"/>
      <c r="J47" s="112">
        <f>IFERROR(I47/E47*100,"")</f>
        <v/>
      </c>
      <c r="K47" s="96" t="n"/>
      <c r="L47" s="124">
        <f>IFERROR(K47/E47*100,"")</f>
        <v/>
      </c>
      <c r="M47" s="96" t="n"/>
      <c r="N47" s="99" t="n"/>
    </row>
    <row r="48" ht="18" customHeight="1">
      <c r="A48" s="95" t="n"/>
      <c r="B48" s="95" t="n"/>
      <c r="C48" s="95" t="n"/>
      <c r="D48" s="92" t="n"/>
      <c r="E48" s="92" t="n"/>
      <c r="F48" s="122">
        <f>IFERROR(E48/D48*100,"")</f>
        <v/>
      </c>
      <c r="G48" s="92" t="n"/>
      <c r="H48" s="123">
        <f>IFERROR(G48/E48*100,"")</f>
        <v/>
      </c>
      <c r="I48" s="92" t="n"/>
      <c r="J48" s="112">
        <f>IFERROR(I48/E48*100,"")</f>
        <v/>
      </c>
      <c r="K48" s="92" t="n"/>
      <c r="L48" s="124">
        <f>IFERROR(K48/E48*100,"")</f>
        <v/>
      </c>
      <c r="M48" s="92" t="n"/>
      <c r="N48" s="95" t="n"/>
    </row>
    <row r="49" ht="18" customHeight="1">
      <c r="A49" s="99" t="n"/>
      <c r="B49" s="99" t="n"/>
      <c r="C49" s="99" t="n"/>
      <c r="D49" s="96" t="n"/>
      <c r="E49" s="96" t="n"/>
      <c r="F49" s="122">
        <f>IFERROR(E49/D49*100,"")</f>
        <v/>
      </c>
      <c r="G49" s="96" t="n"/>
      <c r="H49" s="123">
        <f>IFERROR(G49/E49*100,"")</f>
        <v/>
      </c>
      <c r="I49" s="96" t="n"/>
      <c r="J49" s="112">
        <f>IFERROR(I49/E49*100,"")</f>
        <v/>
      </c>
      <c r="K49" s="96" t="n"/>
      <c r="L49" s="124">
        <f>IFERROR(K49/E49*100,"")</f>
        <v/>
      </c>
      <c r="M49" s="96" t="n"/>
      <c r="N49" s="99" t="n"/>
    </row>
    <row r="50" ht="18" customHeight="1">
      <c r="A50" s="95" t="n"/>
      <c r="B50" s="95" t="n"/>
      <c r="C50" s="95" t="n"/>
      <c r="D50" s="92" t="n"/>
      <c r="E50" s="92" t="n"/>
      <c r="F50" s="122">
        <f>IFERROR(E50/D50*100,"")</f>
        <v/>
      </c>
      <c r="G50" s="92" t="n"/>
      <c r="H50" s="123">
        <f>IFERROR(G50/E50*100,"")</f>
        <v/>
      </c>
      <c r="I50" s="92" t="n"/>
      <c r="J50" s="112">
        <f>IFERROR(I50/E50*100,"")</f>
        <v/>
      </c>
      <c r="K50" s="92" t="n"/>
      <c r="L50" s="124">
        <f>IFERROR(K50/E50*100,"")</f>
        <v/>
      </c>
      <c r="M50" s="92" t="n"/>
      <c r="N50" s="95" t="n"/>
    </row>
    <row r="51" ht="18" customHeight="1">
      <c r="A51" s="99" t="n"/>
      <c r="B51" s="99" t="n"/>
      <c r="C51" s="99" t="n"/>
      <c r="D51" s="96" t="n"/>
      <c r="E51" s="96" t="n"/>
      <c r="F51" s="122">
        <f>IFERROR(E51/D51*100,"")</f>
        <v/>
      </c>
      <c r="G51" s="96" t="n"/>
      <c r="H51" s="123">
        <f>IFERROR(G51/E51*100,"")</f>
        <v/>
      </c>
      <c r="I51" s="96" t="n"/>
      <c r="J51" s="112">
        <f>IFERROR(I51/E51*100,"")</f>
        <v/>
      </c>
      <c r="K51" s="96" t="n"/>
      <c r="L51" s="124">
        <f>IFERROR(K51/E51*100,"")</f>
        <v/>
      </c>
      <c r="M51" s="96" t="n"/>
      <c r="N51" s="99" t="n"/>
    </row>
    <row r="52" ht="18" customHeight="1">
      <c r="A52" s="95" t="n"/>
      <c r="B52" s="95" t="n"/>
      <c r="C52" s="95" t="n"/>
      <c r="D52" s="92" t="n"/>
      <c r="E52" s="92" t="n"/>
      <c r="F52" s="122">
        <f>IFERROR(E52/D52*100,"")</f>
        <v/>
      </c>
      <c r="G52" s="92" t="n"/>
      <c r="H52" s="123">
        <f>IFERROR(G52/E52*100,"")</f>
        <v/>
      </c>
      <c r="I52" s="92" t="n"/>
      <c r="J52" s="112">
        <f>IFERROR(I52/E52*100,"")</f>
        <v/>
      </c>
      <c r="K52" s="92" t="n"/>
      <c r="L52" s="124">
        <f>IFERROR(K52/E52*100,"")</f>
        <v/>
      </c>
      <c r="M52" s="92" t="n"/>
      <c r="N52" s="95" t="n"/>
    </row>
    <row r="53" ht="18" customHeight="1">
      <c r="A53" s="99" t="n"/>
      <c r="B53" s="99" t="n"/>
      <c r="C53" s="99" t="n"/>
      <c r="D53" s="96" t="n"/>
      <c r="E53" s="96" t="n"/>
      <c r="F53" s="122">
        <f>IFERROR(E53/D53*100,"")</f>
        <v/>
      </c>
      <c r="G53" s="96" t="n"/>
      <c r="H53" s="123">
        <f>IFERROR(G53/E53*100,"")</f>
        <v/>
      </c>
      <c r="I53" s="96" t="n"/>
      <c r="J53" s="112">
        <f>IFERROR(I53/E53*100,"")</f>
        <v/>
      </c>
      <c r="K53" s="96" t="n"/>
      <c r="L53" s="124">
        <f>IFERROR(K53/E53*100,"")</f>
        <v/>
      </c>
      <c r="M53" s="96" t="n"/>
      <c r="N53" s="99" t="n"/>
    </row>
    <row r="54" ht="18" customHeight="1">
      <c r="A54" s="95" t="n"/>
      <c r="B54" s="95" t="n"/>
      <c r="C54" s="95" t="n"/>
      <c r="D54" s="92" t="n"/>
      <c r="E54" s="92" t="n"/>
      <c r="F54" s="122">
        <f>IFERROR(E54/D54*100,"")</f>
        <v/>
      </c>
      <c r="G54" s="92" t="n"/>
      <c r="H54" s="123">
        <f>IFERROR(G54/E54*100,"")</f>
        <v/>
      </c>
      <c r="I54" s="92" t="n"/>
      <c r="J54" s="112">
        <f>IFERROR(I54/E54*100,"")</f>
        <v/>
      </c>
      <c r="K54" s="92" t="n"/>
      <c r="L54" s="124">
        <f>IFERROR(K54/E54*100,"")</f>
        <v/>
      </c>
      <c r="M54" s="92" t="n"/>
      <c r="N54" s="95" t="n"/>
    </row>
    <row r="55" ht="18" customHeight="1">
      <c r="A55" s="99" t="n"/>
      <c r="B55" s="99" t="n"/>
      <c r="C55" s="99" t="n"/>
      <c r="D55" s="96" t="n"/>
      <c r="E55" s="96" t="n"/>
      <c r="F55" s="122">
        <f>IFERROR(E55/D55*100,"")</f>
        <v/>
      </c>
      <c r="G55" s="96" t="n"/>
      <c r="H55" s="123">
        <f>IFERROR(G55/E55*100,"")</f>
        <v/>
      </c>
      <c r="I55" s="96" t="n"/>
      <c r="J55" s="112">
        <f>IFERROR(I55/E55*100,"")</f>
        <v/>
      </c>
      <c r="K55" s="96" t="n"/>
      <c r="L55" s="124">
        <f>IFERROR(K55/E55*100,"")</f>
        <v/>
      </c>
      <c r="M55" s="96" t="n"/>
      <c r="N55" s="99" t="n"/>
    </row>
    <row r="56" ht="22" customHeight="1">
      <c r="A56" s="80" t="inlineStr">
        <is>
          <t>TOTALS / AVERAGES</t>
        </is>
      </c>
      <c r="B56" s="2" t="n"/>
      <c r="D56" s="100">
        <f>SUM(D6:D55)</f>
        <v/>
      </c>
      <c r="E56" s="100">
        <f>SUM(E6:E55)</f>
        <v/>
      </c>
      <c r="F56" s="101">
        <f>IFERROR(AVERAGEIF(F6:F55,"&lt;&gt;"),"–")</f>
        <v/>
      </c>
      <c r="G56" s="100">
        <f>SUM(G6:G55)</f>
        <v/>
      </c>
      <c r="H56" s="101">
        <f>IFERROR(AVERAGEIF(H6:H55,"&lt;&gt;"),"–")</f>
        <v/>
      </c>
      <c r="I56" s="100">
        <f>SUM(I6:I55)</f>
        <v/>
      </c>
      <c r="J56" s="101">
        <f>IFERROR(AVERAGEIF(J6:J55,"&lt;&gt;"),"–")</f>
        <v/>
      </c>
      <c r="K56" s="100">
        <f>SUM(K6:K55)</f>
        <v/>
      </c>
      <c r="L56" s="101">
        <f>IFERROR(AVERAGEIF(L6:L55,"&lt;&gt;"),"–")</f>
        <v/>
      </c>
      <c r="M56" s="100">
        <f>SUM(M6:M55)</f>
        <v/>
      </c>
    </row>
  </sheetData>
  <mergeCells count="5">
    <mergeCell ref="A3:N3"/>
    <mergeCell ref="A4:N4"/>
    <mergeCell ref="A2:N2"/>
    <mergeCell ref="A56:B56"/>
    <mergeCell ref="A1:N1"/>
  </mergeCells>
  <dataValidations count="1">
    <dataValidation sqref="A6:A55" showDropDown="0" showInputMessage="0" showErrorMessage="0" allowBlank="1" type="list">
      <formula1>"Jan-25,Feb-25,Mar-25,Apr-25,May-25,Jun-25,Jul-25,Aug-25,Sep-25,Oct-25,Nov-25,Dec-25,Jan-26,Feb-26,Mar-26,Apr-26,May-26,Jun-26,Jul-26,Aug-26,Sep-26,Oct-26,Nov-26,Dec-26"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2" customWidth="1" min="4" max="4"/>
    <col width="11" customWidth="1" min="5" max="5"/>
    <col width="17" customWidth="1" min="6" max="6"/>
    <col width="14" customWidth="1" min="7" max="7"/>
    <col width="17" customWidth="1" min="8" max="8"/>
    <col width="13" customWidth="1" min="9" max="9"/>
    <col width="14" customWidth="1" min="10" max="10"/>
    <col width="14" customWidth="1" min="11" max="11"/>
    <col width="14" customWidth="1" min="12" max="12"/>
    <col width="30" customWidth="1" min="13" max="13"/>
  </cols>
  <sheetData>
    <row r="1" ht="42" customHeight="1">
      <c r="A1" s="125" t="inlineStr">
        <is>
          <t xml:space="preserve">   ✍  CONTENT &amp; PR  —  Organic Content &amp; Earned Media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7" t="inlineStr">
        <is>
          <t>Monthly content output and earned media tracking. Includes blog, press, influencer and video metrics.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16" customHeight="1">
      <c r="A3" s="76" t="inlineStr">
        <is>
          <t>INVEGROW  |  Foods Line Marketing  |  Earned Media Value (EMV) in ZAR  |  Use CPM-equivalent formula if EMV not provided directly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20" customHeight="1">
      <c r="A4" s="77" t="inlineStr">
        <is>
          <t>⚡  PR Mentions = any media coverage (online/print/broadcast)  |  Influencer Reach = combined unique reach of all collabs that month</t>
        </is>
      </c>
      <c r="B4" s="78" t="n"/>
      <c r="C4" s="78" t="n"/>
      <c r="D4" s="78" t="n"/>
      <c r="E4" s="78" t="n"/>
      <c r="F4" s="78" t="n"/>
      <c r="G4" s="78" t="n"/>
      <c r="H4" s="78" t="n"/>
      <c r="I4" s="78" t="n"/>
      <c r="J4" s="78" t="n"/>
      <c r="K4" s="78" t="n"/>
      <c r="L4" s="78" t="n"/>
      <c r="M4" s="78" t="n"/>
    </row>
    <row r="5" ht="38" customHeight="1">
      <c r="A5" s="85" t="inlineStr">
        <is>
          <t>MONTH</t>
        </is>
      </c>
      <c r="B5" s="104" t="inlineStr">
        <is>
          <t>BLOG /
ARTICLES</t>
        </is>
      </c>
      <c r="C5" s="104" t="inlineStr">
        <is>
          <t>SOCIAL
POSTS (org.)</t>
        </is>
      </c>
      <c r="D5" s="87" t="inlineStr">
        <is>
          <t>PRESS
RELEASES</t>
        </is>
      </c>
      <c r="E5" s="87" t="inlineStr">
        <is>
          <t>PR
MENTIONS</t>
        </is>
      </c>
      <c r="F5" s="87" t="inlineStr">
        <is>
          <t>EARNED
MEDIA VAL (R)</t>
        </is>
      </c>
      <c r="G5" s="88" t="inlineStr">
        <is>
          <t>INFLUENCER
COLLABS</t>
        </is>
      </c>
      <c r="H5" s="88" t="inlineStr">
        <is>
          <t>INFLUENCER
COMB. REACH</t>
        </is>
      </c>
      <c r="I5" s="89" t="inlineStr">
        <is>
          <t>VIDEOS
PUBLISHED</t>
        </is>
      </c>
      <c r="J5" s="89" t="inlineStr">
        <is>
          <t>VIDEO
TOTAL VIEWS</t>
        </is>
      </c>
      <c r="K5" s="121" t="inlineStr">
        <is>
          <t>PODCAST
FEATURES</t>
        </is>
      </c>
      <c r="L5" s="86" t="inlineStr">
        <is>
          <t>AVG REVIEW
RATING /5</t>
        </is>
      </c>
      <c r="M5" s="90" t="inlineStr">
        <is>
          <t>NOTES</t>
        </is>
      </c>
    </row>
    <row r="6" ht="18" customHeight="1">
      <c r="A6" s="91" t="inlineStr">
        <is>
          <t>Jan-25</t>
        </is>
      </c>
      <c r="B6" s="92" t="n"/>
      <c r="C6" s="92" t="n"/>
      <c r="D6" s="92" t="n"/>
      <c r="E6" s="92" t="n"/>
      <c r="F6" s="110" t="n"/>
      <c r="G6" s="92" t="n"/>
      <c r="H6" s="92" t="n"/>
      <c r="I6" s="92" t="n"/>
      <c r="J6" s="92" t="n"/>
      <c r="K6" s="92" t="n"/>
      <c r="L6" s="93" t="n"/>
      <c r="M6" s="95" t="n"/>
    </row>
    <row r="7" ht="18" customHeight="1">
      <c r="A7" s="91" t="inlineStr">
        <is>
          <t>Feb-25</t>
        </is>
      </c>
      <c r="B7" s="96" t="n"/>
      <c r="C7" s="96" t="n"/>
      <c r="D7" s="96" t="n"/>
      <c r="E7" s="96" t="n"/>
      <c r="F7" s="115" t="n"/>
      <c r="G7" s="96" t="n"/>
      <c r="H7" s="96" t="n"/>
      <c r="I7" s="96" t="n"/>
      <c r="J7" s="96" t="n"/>
      <c r="K7" s="96" t="n"/>
      <c r="L7" s="97" t="n"/>
      <c r="M7" s="99" t="n"/>
    </row>
    <row r="8" ht="18" customHeight="1">
      <c r="A8" s="91" t="inlineStr">
        <is>
          <t>Mar-25</t>
        </is>
      </c>
      <c r="B8" s="92" t="n"/>
      <c r="C8" s="92" t="n"/>
      <c r="D8" s="92" t="n"/>
      <c r="E8" s="92" t="n"/>
      <c r="F8" s="110" t="n"/>
      <c r="G8" s="92" t="n"/>
      <c r="H8" s="92" t="n"/>
      <c r="I8" s="92" t="n"/>
      <c r="J8" s="92" t="n"/>
      <c r="K8" s="92" t="n"/>
      <c r="L8" s="93" t="n"/>
      <c r="M8" s="95" t="n"/>
    </row>
    <row r="9" ht="18" customHeight="1">
      <c r="A9" s="91" t="inlineStr">
        <is>
          <t>Apr-25</t>
        </is>
      </c>
      <c r="B9" s="96" t="n"/>
      <c r="C9" s="96" t="n"/>
      <c r="D9" s="96" t="n"/>
      <c r="E9" s="96" t="n"/>
      <c r="F9" s="115" t="n"/>
      <c r="G9" s="96" t="n"/>
      <c r="H9" s="96" t="n"/>
      <c r="I9" s="96" t="n"/>
      <c r="J9" s="96" t="n"/>
      <c r="K9" s="96" t="n"/>
      <c r="L9" s="97" t="n"/>
      <c r="M9" s="99" t="n"/>
    </row>
    <row r="10" ht="18" customHeight="1">
      <c r="A10" s="91" t="inlineStr">
        <is>
          <t>May-25</t>
        </is>
      </c>
      <c r="B10" s="92" t="n"/>
      <c r="C10" s="92" t="n"/>
      <c r="D10" s="92" t="n"/>
      <c r="E10" s="92" t="n"/>
      <c r="F10" s="110" t="n"/>
      <c r="G10" s="92" t="n"/>
      <c r="H10" s="92" t="n"/>
      <c r="I10" s="92" t="n"/>
      <c r="J10" s="92" t="n"/>
      <c r="K10" s="92" t="n"/>
      <c r="L10" s="93" t="n"/>
      <c r="M10" s="95" t="n"/>
    </row>
    <row r="11" ht="18" customHeight="1">
      <c r="A11" s="91" t="inlineStr">
        <is>
          <t>Jun-25</t>
        </is>
      </c>
      <c r="B11" s="96" t="n"/>
      <c r="C11" s="96" t="n"/>
      <c r="D11" s="96" t="n"/>
      <c r="E11" s="96" t="n"/>
      <c r="F11" s="115" t="n"/>
      <c r="G11" s="96" t="n"/>
      <c r="H11" s="96" t="n"/>
      <c r="I11" s="96" t="n"/>
      <c r="J11" s="96" t="n"/>
      <c r="K11" s="96" t="n"/>
      <c r="L11" s="97" t="n"/>
      <c r="M11" s="99" t="n"/>
    </row>
    <row r="12" ht="18" customHeight="1">
      <c r="A12" s="91" t="inlineStr">
        <is>
          <t>Jul-25</t>
        </is>
      </c>
      <c r="B12" s="92" t="n"/>
      <c r="C12" s="92" t="n"/>
      <c r="D12" s="92" t="n"/>
      <c r="E12" s="92" t="n"/>
      <c r="F12" s="110" t="n"/>
      <c r="G12" s="92" t="n"/>
      <c r="H12" s="92" t="n"/>
      <c r="I12" s="92" t="n"/>
      <c r="J12" s="92" t="n"/>
      <c r="K12" s="92" t="n"/>
      <c r="L12" s="93" t="n"/>
      <c r="M12" s="95" t="n"/>
    </row>
    <row r="13" ht="18" customHeight="1">
      <c r="A13" s="91" t="inlineStr">
        <is>
          <t>Aug-25</t>
        </is>
      </c>
      <c r="B13" s="96" t="n"/>
      <c r="C13" s="96" t="n"/>
      <c r="D13" s="96" t="n"/>
      <c r="E13" s="96" t="n"/>
      <c r="F13" s="115" t="n"/>
      <c r="G13" s="96" t="n"/>
      <c r="H13" s="96" t="n"/>
      <c r="I13" s="96" t="n"/>
      <c r="J13" s="96" t="n"/>
      <c r="K13" s="96" t="n"/>
      <c r="L13" s="97" t="n"/>
      <c r="M13" s="99" t="n"/>
    </row>
    <row r="14" ht="18" customHeight="1">
      <c r="A14" s="91" t="inlineStr">
        <is>
          <t>Sep-25</t>
        </is>
      </c>
      <c r="B14" s="92" t="n"/>
      <c r="C14" s="92" t="n"/>
      <c r="D14" s="92" t="n"/>
      <c r="E14" s="92" t="n"/>
      <c r="F14" s="110" t="n"/>
      <c r="G14" s="92" t="n"/>
      <c r="H14" s="92" t="n"/>
      <c r="I14" s="92" t="n"/>
      <c r="J14" s="92" t="n"/>
      <c r="K14" s="92" t="n"/>
      <c r="L14" s="93" t="n"/>
      <c r="M14" s="95" t="n"/>
    </row>
    <row r="15" ht="18" customHeight="1">
      <c r="A15" s="91" t="inlineStr">
        <is>
          <t>Oct-25</t>
        </is>
      </c>
      <c r="B15" s="96" t="n"/>
      <c r="C15" s="96" t="n"/>
      <c r="D15" s="96" t="n"/>
      <c r="E15" s="96" t="n"/>
      <c r="F15" s="115" t="n"/>
      <c r="G15" s="96" t="n"/>
      <c r="H15" s="96" t="n"/>
      <c r="I15" s="96" t="n"/>
      <c r="J15" s="96" t="n"/>
      <c r="K15" s="96" t="n"/>
      <c r="L15" s="97" t="n"/>
      <c r="M15" s="99" t="n"/>
    </row>
    <row r="16" ht="18" customHeight="1">
      <c r="A16" s="91" t="inlineStr">
        <is>
          <t>Nov-25</t>
        </is>
      </c>
      <c r="B16" s="92" t="n"/>
      <c r="C16" s="92" t="n"/>
      <c r="D16" s="92" t="n"/>
      <c r="E16" s="92" t="n"/>
      <c r="F16" s="110" t="n"/>
      <c r="G16" s="92" t="n"/>
      <c r="H16" s="92" t="n"/>
      <c r="I16" s="92" t="n"/>
      <c r="J16" s="92" t="n"/>
      <c r="K16" s="92" t="n"/>
      <c r="L16" s="93" t="n"/>
      <c r="M16" s="95" t="n"/>
    </row>
    <row r="17" ht="18" customHeight="1">
      <c r="A17" s="91" t="inlineStr">
        <is>
          <t>Dec-25</t>
        </is>
      </c>
      <c r="B17" s="96" t="n"/>
      <c r="C17" s="96" t="n"/>
      <c r="D17" s="96" t="n"/>
      <c r="E17" s="96" t="n"/>
      <c r="F17" s="115" t="n"/>
      <c r="G17" s="96" t="n"/>
      <c r="H17" s="96" t="n"/>
      <c r="I17" s="96" t="n"/>
      <c r="J17" s="96" t="n"/>
      <c r="K17" s="96" t="n"/>
      <c r="L17" s="97" t="n"/>
      <c r="M17" s="99" t="n"/>
    </row>
    <row r="18" ht="18" customHeight="1">
      <c r="A18" s="91" t="inlineStr">
        <is>
          <t>Jan-26</t>
        </is>
      </c>
      <c r="B18" s="92" t="n"/>
      <c r="C18" s="92" t="n"/>
      <c r="D18" s="92" t="n"/>
      <c r="E18" s="92" t="n"/>
      <c r="F18" s="110" t="n"/>
      <c r="G18" s="92" t="n"/>
      <c r="H18" s="92" t="n"/>
      <c r="I18" s="92" t="n"/>
      <c r="J18" s="92" t="n"/>
      <c r="K18" s="92" t="n"/>
      <c r="L18" s="93" t="n"/>
      <c r="M18" s="95" t="n"/>
    </row>
    <row r="19" ht="18" customHeight="1">
      <c r="A19" s="91" t="inlineStr">
        <is>
          <t>Feb-26</t>
        </is>
      </c>
      <c r="B19" s="96" t="n"/>
      <c r="C19" s="96" t="n"/>
      <c r="D19" s="96" t="n"/>
      <c r="E19" s="96" t="n"/>
      <c r="F19" s="115" t="n"/>
      <c r="G19" s="96" t="n"/>
      <c r="H19" s="96" t="n"/>
      <c r="I19" s="96" t="n"/>
      <c r="J19" s="96" t="n"/>
      <c r="K19" s="96" t="n"/>
      <c r="L19" s="97" t="n"/>
      <c r="M19" s="99" t="n"/>
    </row>
    <row r="20" ht="18" customHeight="1">
      <c r="A20" s="91" t="inlineStr">
        <is>
          <t>Mar-26</t>
        </is>
      </c>
      <c r="B20" s="92" t="n"/>
      <c r="C20" s="92" t="n"/>
      <c r="D20" s="92" t="n"/>
      <c r="E20" s="92" t="n"/>
      <c r="F20" s="110" t="n"/>
      <c r="G20" s="92" t="n"/>
      <c r="H20" s="92" t="n"/>
      <c r="I20" s="92" t="n"/>
      <c r="J20" s="92" t="n"/>
      <c r="K20" s="92" t="n"/>
      <c r="L20" s="93" t="n"/>
      <c r="M20" s="95" t="n"/>
    </row>
    <row r="21" ht="18" customHeight="1">
      <c r="A21" s="91" t="inlineStr">
        <is>
          <t>Apr-26</t>
        </is>
      </c>
      <c r="B21" s="96" t="n"/>
      <c r="C21" s="96" t="n"/>
      <c r="D21" s="96" t="n"/>
      <c r="E21" s="96" t="n"/>
      <c r="F21" s="115" t="n"/>
      <c r="G21" s="96" t="n"/>
      <c r="H21" s="96" t="n"/>
      <c r="I21" s="96" t="n"/>
      <c r="J21" s="96" t="n"/>
      <c r="K21" s="96" t="n"/>
      <c r="L21" s="97" t="n"/>
      <c r="M21" s="99" t="n"/>
    </row>
    <row r="22" ht="18" customHeight="1">
      <c r="A22" s="91" t="inlineStr">
        <is>
          <t>May-26</t>
        </is>
      </c>
      <c r="B22" s="92" t="n"/>
      <c r="C22" s="92" t="n"/>
      <c r="D22" s="92" t="n"/>
      <c r="E22" s="92" t="n"/>
      <c r="F22" s="110" t="n"/>
      <c r="G22" s="92" t="n"/>
      <c r="H22" s="92" t="n"/>
      <c r="I22" s="92" t="n"/>
      <c r="J22" s="92" t="n"/>
      <c r="K22" s="92" t="n"/>
      <c r="L22" s="93" t="n"/>
      <c r="M22" s="95" t="n"/>
    </row>
    <row r="23" ht="18" customHeight="1">
      <c r="A23" s="91" t="inlineStr">
        <is>
          <t>Jun-26</t>
        </is>
      </c>
      <c r="B23" s="96" t="n"/>
      <c r="C23" s="96" t="n"/>
      <c r="D23" s="96" t="n"/>
      <c r="E23" s="96" t="n"/>
      <c r="F23" s="115" t="n"/>
      <c r="G23" s="96" t="n"/>
      <c r="H23" s="96" t="n"/>
      <c r="I23" s="96" t="n"/>
      <c r="J23" s="96" t="n"/>
      <c r="K23" s="96" t="n"/>
      <c r="L23" s="97" t="n"/>
      <c r="M23" s="99" t="n"/>
    </row>
    <row r="24" ht="18" customHeight="1">
      <c r="A24" s="91" t="inlineStr">
        <is>
          <t>Jul-26</t>
        </is>
      </c>
      <c r="B24" s="92" t="n"/>
      <c r="C24" s="92" t="n"/>
      <c r="D24" s="92" t="n"/>
      <c r="E24" s="92" t="n"/>
      <c r="F24" s="110" t="n"/>
      <c r="G24" s="92" t="n"/>
      <c r="H24" s="92" t="n"/>
      <c r="I24" s="92" t="n"/>
      <c r="J24" s="92" t="n"/>
      <c r="K24" s="92" t="n"/>
      <c r="L24" s="93" t="n"/>
      <c r="M24" s="95" t="n"/>
    </row>
    <row r="25" ht="18" customHeight="1">
      <c r="A25" s="91" t="inlineStr">
        <is>
          <t>Aug-26</t>
        </is>
      </c>
      <c r="B25" s="96" t="n"/>
      <c r="C25" s="96" t="n"/>
      <c r="D25" s="96" t="n"/>
      <c r="E25" s="96" t="n"/>
      <c r="F25" s="115" t="n"/>
      <c r="G25" s="96" t="n"/>
      <c r="H25" s="96" t="n"/>
      <c r="I25" s="96" t="n"/>
      <c r="J25" s="96" t="n"/>
      <c r="K25" s="96" t="n"/>
      <c r="L25" s="97" t="n"/>
      <c r="M25" s="99" t="n"/>
    </row>
    <row r="26" ht="18" customHeight="1">
      <c r="A26" s="91" t="inlineStr">
        <is>
          <t>Sep-26</t>
        </is>
      </c>
      <c r="B26" s="92" t="n"/>
      <c r="C26" s="92" t="n"/>
      <c r="D26" s="92" t="n"/>
      <c r="E26" s="92" t="n"/>
      <c r="F26" s="110" t="n"/>
      <c r="G26" s="92" t="n"/>
      <c r="H26" s="92" t="n"/>
      <c r="I26" s="92" t="n"/>
      <c r="J26" s="92" t="n"/>
      <c r="K26" s="92" t="n"/>
      <c r="L26" s="93" t="n"/>
      <c r="M26" s="95" t="n"/>
    </row>
    <row r="27" ht="18" customHeight="1">
      <c r="A27" s="91" t="inlineStr">
        <is>
          <t>Oct-26</t>
        </is>
      </c>
      <c r="B27" s="96" t="n"/>
      <c r="C27" s="96" t="n"/>
      <c r="D27" s="96" t="n"/>
      <c r="E27" s="96" t="n"/>
      <c r="F27" s="115" t="n"/>
      <c r="G27" s="96" t="n"/>
      <c r="H27" s="96" t="n"/>
      <c r="I27" s="96" t="n"/>
      <c r="J27" s="96" t="n"/>
      <c r="K27" s="96" t="n"/>
      <c r="L27" s="97" t="n"/>
      <c r="M27" s="99" t="n"/>
    </row>
    <row r="28" ht="18" customHeight="1">
      <c r="A28" s="91" t="inlineStr">
        <is>
          <t>Nov-26</t>
        </is>
      </c>
      <c r="B28" s="92" t="n"/>
      <c r="C28" s="92" t="n"/>
      <c r="D28" s="92" t="n"/>
      <c r="E28" s="92" t="n"/>
      <c r="F28" s="110" t="n"/>
      <c r="G28" s="92" t="n"/>
      <c r="H28" s="92" t="n"/>
      <c r="I28" s="92" t="n"/>
      <c r="J28" s="92" t="n"/>
      <c r="K28" s="92" t="n"/>
      <c r="L28" s="93" t="n"/>
      <c r="M28" s="95" t="n"/>
    </row>
    <row r="29" ht="18" customHeight="1">
      <c r="A29" s="91" t="inlineStr">
        <is>
          <t>Dec-26</t>
        </is>
      </c>
      <c r="B29" s="96" t="n"/>
      <c r="C29" s="96" t="n"/>
      <c r="D29" s="96" t="n"/>
      <c r="E29" s="96" t="n"/>
      <c r="F29" s="115" t="n"/>
      <c r="G29" s="96" t="n"/>
      <c r="H29" s="96" t="n"/>
      <c r="I29" s="96" t="n"/>
      <c r="J29" s="96" t="n"/>
      <c r="K29" s="96" t="n"/>
      <c r="L29" s="97" t="n"/>
      <c r="M29" s="99" t="n"/>
    </row>
    <row r="30" ht="22" customHeight="1">
      <c r="A30" s="80" t="inlineStr">
        <is>
          <t>TOTALS / AVG</t>
        </is>
      </c>
      <c r="B30" s="117">
        <f>SUM(B6:B29)</f>
        <v/>
      </c>
      <c r="C30" s="117">
        <f>SUM(C6:C29)</f>
        <v/>
      </c>
      <c r="D30" s="117">
        <f>SUM(D6:D29)</f>
        <v/>
      </c>
      <c r="E30" s="117">
        <f>SUM(E6:E29)</f>
        <v/>
      </c>
      <c r="F30" s="117">
        <f>SUM(F6:F29)</f>
        <v/>
      </c>
      <c r="G30" s="117">
        <f>SUM(G6:G29)</f>
        <v/>
      </c>
      <c r="H30" s="117">
        <f>SUM(H6:H29)</f>
        <v/>
      </c>
      <c r="I30" s="117">
        <f>SUM(I6:I29)</f>
        <v/>
      </c>
      <c r="J30" s="117">
        <f>SUM(J6:J29)</f>
        <v/>
      </c>
      <c r="K30" s="117">
        <f>SUM(K6:K29)</f>
        <v/>
      </c>
      <c r="L30" s="117">
        <f>IFERROR(AVERAGEIF(L6:L29,"&lt;&gt;"),"–")</f>
        <v/>
      </c>
    </row>
  </sheetData>
  <mergeCells count="5">
    <mergeCell ref="A1:M1"/>
    <mergeCell ref="A30"/>
    <mergeCell ref="A4:M4"/>
    <mergeCell ref="A3:M3"/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13" customWidth="1" min="4" max="4"/>
    <col width="13" customWidth="1" min="5" max="5"/>
    <col width="13" customWidth="1" min="6" max="6"/>
    <col width="15" customWidth="1" min="7" max="7"/>
    <col width="15" customWidth="1" min="8" max="8"/>
    <col width="13" customWidth="1" min="9" max="9"/>
    <col width="22" customWidth="1" min="10" max="10"/>
    <col width="22" customWidth="1" min="11" max="11"/>
    <col width="28" customWidth="1" min="12" max="12"/>
    <col width="14" customWidth="1" min="13" max="13"/>
    <col width="13" customWidth="1" min="14" max="14"/>
    <col width="15" customWidth="1" min="15" max="15"/>
    <col width="15" customWidth="1" min="16" max="16"/>
    <col width="35" customWidth="1" min="17" max="17"/>
  </cols>
  <sheetData>
    <row r="1" ht="42" customHeight="1">
      <c r="A1" s="126" t="inlineStr">
        <is>
          <t xml:space="preserve">   🎯  CAMPAIGN TRACKER  —  End-to-End Campaign Record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</row>
    <row r="2" ht="22" customHeight="1">
      <c r="A2" s="127" t="inlineStr">
        <is>
          <t>One row per campaign. Captures strategy, budget and results in a single view for learning and planning.</t>
        </is>
      </c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</row>
    <row r="3" ht="16" customHeight="1">
      <c r="A3" s="76" t="inlineStr">
        <is>
          <t>INVEGROW  |  Foods Line Marketing  |  Budget Utilisation auto-calculates  |  Status dropdown controls row highlighting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20" customHeight="1">
      <c r="A4" s="77" t="inlineStr">
        <is>
          <t>⚡  Link campaign spend back to the Paid Ads sheet for full cost tracking  |  Add key learnings to improve future campaigns</t>
        </is>
      </c>
      <c r="B4" s="78" t="n"/>
      <c r="C4" s="78" t="n"/>
      <c r="D4" s="78" t="n"/>
      <c r="E4" s="78" t="n"/>
      <c r="F4" s="78" t="n"/>
      <c r="G4" s="78" t="n"/>
      <c r="H4" s="78" t="n"/>
      <c r="I4" s="78" t="n"/>
      <c r="J4" s="78" t="n"/>
      <c r="K4" s="78" t="n"/>
      <c r="L4" s="78" t="n"/>
      <c r="M4" s="78" t="n"/>
      <c r="N4" s="78" t="n"/>
      <c r="O4" s="78" t="n"/>
      <c r="P4" s="78" t="n"/>
      <c r="Q4" s="78" t="n"/>
    </row>
    <row r="5" ht="38" customHeight="1">
      <c r="A5" s="89" t="inlineStr">
        <is>
          <t>CAMPAIGN NAME</t>
        </is>
      </c>
      <c r="B5" s="89" t="inlineStr">
        <is>
          <t>OBJECTIVE</t>
        </is>
      </c>
      <c r="C5" s="104" t="inlineStr">
        <is>
          <t>PRODUCTS
PROMOTED</t>
        </is>
      </c>
      <c r="D5" s="85" t="inlineStr">
        <is>
          <t>START
DATE</t>
        </is>
      </c>
      <c r="E5" s="85" t="inlineStr">
        <is>
          <t>END
DATE</t>
        </is>
      </c>
      <c r="F5" s="85" t="inlineStr">
        <is>
          <t>STATUS</t>
        </is>
      </c>
      <c r="G5" s="86" t="inlineStr">
        <is>
          <t>TOTAL
BUDGET (R)</t>
        </is>
      </c>
      <c r="H5" s="86" t="inlineStr">
        <is>
          <t>SPEND
TO DATE (R)</t>
        </is>
      </c>
      <c r="I5" s="86" t="inlineStr">
        <is>
          <t>BUDGET
UTIL. %</t>
        </is>
      </c>
      <c r="J5" s="87" t="inlineStr">
        <is>
          <t>CHANNELS
USED</t>
        </is>
      </c>
      <c r="K5" s="87" t="inlineStr">
        <is>
          <t>TARGET
AUDIENCE</t>
        </is>
      </c>
      <c r="L5" s="87" t="inlineStr">
        <is>
          <t>KEY
MESSAGE</t>
        </is>
      </c>
      <c r="M5" s="88" t="inlineStr">
        <is>
          <t>TOTAL
IMPRESSIONS</t>
        </is>
      </c>
      <c r="N5" s="88" t="inlineStr">
        <is>
          <t>TOTAL
REACH</t>
        </is>
      </c>
      <c r="O5" s="88" t="inlineStr">
        <is>
          <t>TOTAL
ENGAGEMENTS</t>
        </is>
      </c>
      <c r="P5" s="120" t="inlineStr">
        <is>
          <t>LEADS /
CONVERSIONS</t>
        </is>
      </c>
      <c r="Q5" s="121" t="inlineStr">
        <is>
          <t>KEY LEARNINGS</t>
        </is>
      </c>
    </row>
    <row r="6" ht="20" customHeight="1">
      <c r="A6" s="128" t="n"/>
      <c r="B6" s="128" t="n"/>
      <c r="C6" s="128" t="n"/>
      <c r="D6" s="129" t="n"/>
      <c r="E6" s="129" t="n"/>
      <c r="F6" s="95" t="n"/>
      <c r="G6" s="110" t="n"/>
      <c r="H6" s="110" t="n"/>
      <c r="I6" s="130">
        <f>IFERROR(H6/G6*100,"")</f>
        <v/>
      </c>
      <c r="J6" s="128" t="n"/>
      <c r="K6" s="128" t="n"/>
      <c r="L6" s="128" t="n"/>
      <c r="M6" s="92" t="n"/>
      <c r="N6" s="92" t="n"/>
      <c r="O6" s="92" t="n"/>
      <c r="P6" s="92" t="n"/>
      <c r="Q6" s="128" t="n"/>
    </row>
    <row r="7" ht="20" customHeight="1">
      <c r="A7" s="131" t="n"/>
      <c r="B7" s="131" t="n"/>
      <c r="C7" s="131" t="n"/>
      <c r="D7" s="132" t="n"/>
      <c r="E7" s="132" t="n"/>
      <c r="F7" s="99" t="n"/>
      <c r="G7" s="115" t="n"/>
      <c r="H7" s="115" t="n"/>
      <c r="I7" s="130">
        <f>IFERROR(H7/G7*100,"")</f>
        <v/>
      </c>
      <c r="J7" s="131" t="n"/>
      <c r="K7" s="131" t="n"/>
      <c r="L7" s="131" t="n"/>
      <c r="M7" s="96" t="n"/>
      <c r="N7" s="96" t="n"/>
      <c r="O7" s="96" t="n"/>
      <c r="P7" s="96" t="n"/>
      <c r="Q7" s="131" t="n"/>
    </row>
    <row r="8" ht="20" customHeight="1">
      <c r="A8" s="128" t="n"/>
      <c r="B8" s="128" t="n"/>
      <c r="C8" s="128" t="n"/>
      <c r="D8" s="129" t="n"/>
      <c r="E8" s="129" t="n"/>
      <c r="F8" s="95" t="n"/>
      <c r="G8" s="110" t="n"/>
      <c r="H8" s="110" t="n"/>
      <c r="I8" s="130">
        <f>IFERROR(H8/G8*100,"")</f>
        <v/>
      </c>
      <c r="J8" s="128" t="n"/>
      <c r="K8" s="128" t="n"/>
      <c r="L8" s="128" t="n"/>
      <c r="M8" s="92" t="n"/>
      <c r="N8" s="92" t="n"/>
      <c r="O8" s="92" t="n"/>
      <c r="P8" s="92" t="n"/>
      <c r="Q8" s="128" t="n"/>
    </row>
    <row r="9" ht="20" customHeight="1">
      <c r="A9" s="131" t="n"/>
      <c r="B9" s="131" t="n"/>
      <c r="C9" s="131" t="n"/>
      <c r="D9" s="132" t="n"/>
      <c r="E9" s="132" t="n"/>
      <c r="F9" s="99" t="n"/>
      <c r="G9" s="115" t="n"/>
      <c r="H9" s="115" t="n"/>
      <c r="I9" s="130">
        <f>IFERROR(H9/G9*100,"")</f>
        <v/>
      </c>
      <c r="J9" s="131" t="n"/>
      <c r="K9" s="131" t="n"/>
      <c r="L9" s="131" t="n"/>
      <c r="M9" s="96" t="n"/>
      <c r="N9" s="96" t="n"/>
      <c r="O9" s="96" t="n"/>
      <c r="P9" s="96" t="n"/>
      <c r="Q9" s="131" t="n"/>
    </row>
    <row r="10" ht="20" customHeight="1">
      <c r="A10" s="128" t="n"/>
      <c r="B10" s="128" t="n"/>
      <c r="C10" s="128" t="n"/>
      <c r="D10" s="129" t="n"/>
      <c r="E10" s="129" t="n"/>
      <c r="F10" s="95" t="n"/>
      <c r="G10" s="110" t="n"/>
      <c r="H10" s="110" t="n"/>
      <c r="I10" s="130">
        <f>IFERROR(H10/G10*100,"")</f>
        <v/>
      </c>
      <c r="J10" s="128" t="n"/>
      <c r="K10" s="128" t="n"/>
      <c r="L10" s="128" t="n"/>
      <c r="M10" s="92" t="n"/>
      <c r="N10" s="92" t="n"/>
      <c r="O10" s="92" t="n"/>
      <c r="P10" s="92" t="n"/>
      <c r="Q10" s="128" t="n"/>
    </row>
    <row r="11" ht="20" customHeight="1">
      <c r="A11" s="131" t="n"/>
      <c r="B11" s="131" t="n"/>
      <c r="C11" s="131" t="n"/>
      <c r="D11" s="132" t="n"/>
      <c r="E11" s="132" t="n"/>
      <c r="F11" s="99" t="n"/>
      <c r="G11" s="115" t="n"/>
      <c r="H11" s="115" t="n"/>
      <c r="I11" s="130">
        <f>IFERROR(H11/G11*100,"")</f>
        <v/>
      </c>
      <c r="J11" s="131" t="n"/>
      <c r="K11" s="131" t="n"/>
      <c r="L11" s="131" t="n"/>
      <c r="M11" s="96" t="n"/>
      <c r="N11" s="96" t="n"/>
      <c r="O11" s="96" t="n"/>
      <c r="P11" s="96" t="n"/>
      <c r="Q11" s="131" t="n"/>
    </row>
    <row r="12" ht="20" customHeight="1">
      <c r="A12" s="128" t="n"/>
      <c r="B12" s="128" t="n"/>
      <c r="C12" s="128" t="n"/>
      <c r="D12" s="129" t="n"/>
      <c r="E12" s="129" t="n"/>
      <c r="F12" s="95" t="n"/>
      <c r="G12" s="110" t="n"/>
      <c r="H12" s="110" t="n"/>
      <c r="I12" s="130">
        <f>IFERROR(H12/G12*100,"")</f>
        <v/>
      </c>
      <c r="J12" s="128" t="n"/>
      <c r="K12" s="128" t="n"/>
      <c r="L12" s="128" t="n"/>
      <c r="M12" s="92" t="n"/>
      <c r="N12" s="92" t="n"/>
      <c r="O12" s="92" t="n"/>
      <c r="P12" s="92" t="n"/>
      <c r="Q12" s="128" t="n"/>
    </row>
    <row r="13" ht="20" customHeight="1">
      <c r="A13" s="131" t="n"/>
      <c r="B13" s="131" t="n"/>
      <c r="C13" s="131" t="n"/>
      <c r="D13" s="132" t="n"/>
      <c r="E13" s="132" t="n"/>
      <c r="F13" s="99" t="n"/>
      <c r="G13" s="115" t="n"/>
      <c r="H13" s="115" t="n"/>
      <c r="I13" s="130">
        <f>IFERROR(H13/G13*100,"")</f>
        <v/>
      </c>
      <c r="J13" s="131" t="n"/>
      <c r="K13" s="131" t="n"/>
      <c r="L13" s="131" t="n"/>
      <c r="M13" s="96" t="n"/>
      <c r="N13" s="96" t="n"/>
      <c r="O13" s="96" t="n"/>
      <c r="P13" s="96" t="n"/>
      <c r="Q13" s="131" t="n"/>
    </row>
    <row r="14" ht="20" customHeight="1">
      <c r="A14" s="128" t="n"/>
      <c r="B14" s="128" t="n"/>
      <c r="C14" s="128" t="n"/>
      <c r="D14" s="129" t="n"/>
      <c r="E14" s="129" t="n"/>
      <c r="F14" s="95" t="n"/>
      <c r="G14" s="110" t="n"/>
      <c r="H14" s="110" t="n"/>
      <c r="I14" s="130">
        <f>IFERROR(H14/G14*100,"")</f>
        <v/>
      </c>
      <c r="J14" s="128" t="n"/>
      <c r="K14" s="128" t="n"/>
      <c r="L14" s="128" t="n"/>
      <c r="M14" s="92" t="n"/>
      <c r="N14" s="92" t="n"/>
      <c r="O14" s="92" t="n"/>
      <c r="P14" s="92" t="n"/>
      <c r="Q14" s="128" t="n"/>
    </row>
    <row r="15" ht="20" customHeight="1">
      <c r="A15" s="131" t="n"/>
      <c r="B15" s="131" t="n"/>
      <c r="C15" s="131" t="n"/>
      <c r="D15" s="132" t="n"/>
      <c r="E15" s="132" t="n"/>
      <c r="F15" s="99" t="n"/>
      <c r="G15" s="115" t="n"/>
      <c r="H15" s="115" t="n"/>
      <c r="I15" s="130">
        <f>IFERROR(H15/G15*100,"")</f>
        <v/>
      </c>
      <c r="J15" s="131" t="n"/>
      <c r="K15" s="131" t="n"/>
      <c r="L15" s="131" t="n"/>
      <c r="M15" s="96" t="n"/>
      <c r="N15" s="96" t="n"/>
      <c r="O15" s="96" t="n"/>
      <c r="P15" s="96" t="n"/>
      <c r="Q15" s="131" t="n"/>
    </row>
    <row r="16" ht="20" customHeight="1">
      <c r="A16" s="128" t="n"/>
      <c r="B16" s="128" t="n"/>
      <c r="C16" s="128" t="n"/>
      <c r="D16" s="129" t="n"/>
      <c r="E16" s="129" t="n"/>
      <c r="F16" s="95" t="n"/>
      <c r="G16" s="110" t="n"/>
      <c r="H16" s="110" t="n"/>
      <c r="I16" s="130">
        <f>IFERROR(H16/G16*100,"")</f>
        <v/>
      </c>
      <c r="J16" s="128" t="n"/>
      <c r="K16" s="128" t="n"/>
      <c r="L16" s="128" t="n"/>
      <c r="M16" s="92" t="n"/>
      <c r="N16" s="92" t="n"/>
      <c r="O16" s="92" t="n"/>
      <c r="P16" s="92" t="n"/>
      <c r="Q16" s="128" t="n"/>
    </row>
    <row r="17" ht="20" customHeight="1">
      <c r="A17" s="131" t="n"/>
      <c r="B17" s="131" t="n"/>
      <c r="C17" s="131" t="n"/>
      <c r="D17" s="132" t="n"/>
      <c r="E17" s="132" t="n"/>
      <c r="F17" s="99" t="n"/>
      <c r="G17" s="115" t="n"/>
      <c r="H17" s="115" t="n"/>
      <c r="I17" s="130">
        <f>IFERROR(H17/G17*100,"")</f>
        <v/>
      </c>
      <c r="J17" s="131" t="n"/>
      <c r="K17" s="131" t="n"/>
      <c r="L17" s="131" t="n"/>
      <c r="M17" s="96" t="n"/>
      <c r="N17" s="96" t="n"/>
      <c r="O17" s="96" t="n"/>
      <c r="P17" s="96" t="n"/>
      <c r="Q17" s="131" t="n"/>
    </row>
    <row r="18" ht="20" customHeight="1">
      <c r="A18" s="128" t="n"/>
      <c r="B18" s="128" t="n"/>
      <c r="C18" s="128" t="n"/>
      <c r="D18" s="129" t="n"/>
      <c r="E18" s="129" t="n"/>
      <c r="F18" s="95" t="n"/>
      <c r="G18" s="110" t="n"/>
      <c r="H18" s="110" t="n"/>
      <c r="I18" s="130">
        <f>IFERROR(H18/G18*100,"")</f>
        <v/>
      </c>
      <c r="J18" s="128" t="n"/>
      <c r="K18" s="128" t="n"/>
      <c r="L18" s="128" t="n"/>
      <c r="M18" s="92" t="n"/>
      <c r="N18" s="92" t="n"/>
      <c r="O18" s="92" t="n"/>
      <c r="P18" s="92" t="n"/>
      <c r="Q18" s="128" t="n"/>
    </row>
    <row r="19" ht="20" customHeight="1">
      <c r="A19" s="131" t="n"/>
      <c r="B19" s="131" t="n"/>
      <c r="C19" s="131" t="n"/>
      <c r="D19" s="132" t="n"/>
      <c r="E19" s="132" t="n"/>
      <c r="F19" s="99" t="n"/>
      <c r="G19" s="115" t="n"/>
      <c r="H19" s="115" t="n"/>
      <c r="I19" s="130">
        <f>IFERROR(H19/G19*100,"")</f>
        <v/>
      </c>
      <c r="J19" s="131" t="n"/>
      <c r="K19" s="131" t="n"/>
      <c r="L19" s="131" t="n"/>
      <c r="M19" s="96" t="n"/>
      <c r="N19" s="96" t="n"/>
      <c r="O19" s="96" t="n"/>
      <c r="P19" s="96" t="n"/>
      <c r="Q19" s="131" t="n"/>
    </row>
    <row r="20" ht="20" customHeight="1">
      <c r="A20" s="128" t="n"/>
      <c r="B20" s="128" t="n"/>
      <c r="C20" s="128" t="n"/>
      <c r="D20" s="129" t="n"/>
      <c r="E20" s="129" t="n"/>
      <c r="F20" s="95" t="n"/>
      <c r="G20" s="110" t="n"/>
      <c r="H20" s="110" t="n"/>
      <c r="I20" s="130">
        <f>IFERROR(H20/G20*100,"")</f>
        <v/>
      </c>
      <c r="J20" s="128" t="n"/>
      <c r="K20" s="128" t="n"/>
      <c r="L20" s="128" t="n"/>
      <c r="M20" s="92" t="n"/>
      <c r="N20" s="92" t="n"/>
      <c r="O20" s="92" t="n"/>
      <c r="P20" s="92" t="n"/>
      <c r="Q20" s="128" t="n"/>
    </row>
    <row r="21" ht="20" customHeight="1">
      <c r="A21" s="131" t="n"/>
      <c r="B21" s="131" t="n"/>
      <c r="C21" s="131" t="n"/>
      <c r="D21" s="132" t="n"/>
      <c r="E21" s="132" t="n"/>
      <c r="F21" s="99" t="n"/>
      <c r="G21" s="115" t="n"/>
      <c r="H21" s="115" t="n"/>
      <c r="I21" s="130">
        <f>IFERROR(H21/G21*100,"")</f>
        <v/>
      </c>
      <c r="J21" s="131" t="n"/>
      <c r="K21" s="131" t="n"/>
      <c r="L21" s="131" t="n"/>
      <c r="M21" s="96" t="n"/>
      <c r="N21" s="96" t="n"/>
      <c r="O21" s="96" t="n"/>
      <c r="P21" s="96" t="n"/>
      <c r="Q21" s="131" t="n"/>
    </row>
    <row r="22" ht="20" customHeight="1">
      <c r="A22" s="128" t="n"/>
      <c r="B22" s="128" t="n"/>
      <c r="C22" s="128" t="n"/>
      <c r="D22" s="129" t="n"/>
      <c r="E22" s="129" t="n"/>
      <c r="F22" s="95" t="n"/>
      <c r="G22" s="110" t="n"/>
      <c r="H22" s="110" t="n"/>
      <c r="I22" s="130">
        <f>IFERROR(H22/G22*100,"")</f>
        <v/>
      </c>
      <c r="J22" s="128" t="n"/>
      <c r="K22" s="128" t="n"/>
      <c r="L22" s="128" t="n"/>
      <c r="M22" s="92" t="n"/>
      <c r="N22" s="92" t="n"/>
      <c r="O22" s="92" t="n"/>
      <c r="P22" s="92" t="n"/>
      <c r="Q22" s="128" t="n"/>
    </row>
    <row r="23" ht="20" customHeight="1">
      <c r="A23" s="131" t="n"/>
      <c r="B23" s="131" t="n"/>
      <c r="C23" s="131" t="n"/>
      <c r="D23" s="132" t="n"/>
      <c r="E23" s="132" t="n"/>
      <c r="F23" s="99" t="n"/>
      <c r="G23" s="115" t="n"/>
      <c r="H23" s="115" t="n"/>
      <c r="I23" s="130">
        <f>IFERROR(H23/G23*100,"")</f>
        <v/>
      </c>
      <c r="J23" s="131" t="n"/>
      <c r="K23" s="131" t="n"/>
      <c r="L23" s="131" t="n"/>
      <c r="M23" s="96" t="n"/>
      <c r="N23" s="96" t="n"/>
      <c r="O23" s="96" t="n"/>
      <c r="P23" s="96" t="n"/>
      <c r="Q23" s="131" t="n"/>
    </row>
    <row r="24" ht="20" customHeight="1">
      <c r="A24" s="128" t="n"/>
      <c r="B24" s="128" t="n"/>
      <c r="C24" s="128" t="n"/>
      <c r="D24" s="129" t="n"/>
      <c r="E24" s="129" t="n"/>
      <c r="F24" s="95" t="n"/>
      <c r="G24" s="110" t="n"/>
      <c r="H24" s="110" t="n"/>
      <c r="I24" s="130">
        <f>IFERROR(H24/G24*100,"")</f>
        <v/>
      </c>
      <c r="J24" s="128" t="n"/>
      <c r="K24" s="128" t="n"/>
      <c r="L24" s="128" t="n"/>
      <c r="M24" s="92" t="n"/>
      <c r="N24" s="92" t="n"/>
      <c r="O24" s="92" t="n"/>
      <c r="P24" s="92" t="n"/>
      <c r="Q24" s="128" t="n"/>
    </row>
    <row r="25" ht="20" customHeight="1">
      <c r="A25" s="131" t="n"/>
      <c r="B25" s="131" t="n"/>
      <c r="C25" s="131" t="n"/>
      <c r="D25" s="132" t="n"/>
      <c r="E25" s="132" t="n"/>
      <c r="F25" s="99" t="n"/>
      <c r="G25" s="115" t="n"/>
      <c r="H25" s="115" t="n"/>
      <c r="I25" s="130">
        <f>IFERROR(H25/G25*100,"")</f>
        <v/>
      </c>
      <c r="J25" s="131" t="n"/>
      <c r="K25" s="131" t="n"/>
      <c r="L25" s="131" t="n"/>
      <c r="M25" s="96" t="n"/>
      <c r="N25" s="96" t="n"/>
      <c r="O25" s="96" t="n"/>
      <c r="P25" s="96" t="n"/>
      <c r="Q25" s="131" t="n"/>
    </row>
    <row r="26" ht="20" customHeight="1">
      <c r="A26" s="128" t="n"/>
      <c r="B26" s="128" t="n"/>
      <c r="C26" s="128" t="n"/>
      <c r="D26" s="129" t="n"/>
      <c r="E26" s="129" t="n"/>
      <c r="F26" s="95" t="n"/>
      <c r="G26" s="110" t="n"/>
      <c r="H26" s="110" t="n"/>
      <c r="I26" s="130">
        <f>IFERROR(H26/G26*100,"")</f>
        <v/>
      </c>
      <c r="J26" s="128" t="n"/>
      <c r="K26" s="128" t="n"/>
      <c r="L26" s="128" t="n"/>
      <c r="M26" s="92" t="n"/>
      <c r="N26" s="92" t="n"/>
      <c r="O26" s="92" t="n"/>
      <c r="P26" s="92" t="n"/>
      <c r="Q26" s="128" t="n"/>
    </row>
    <row r="27" ht="20" customHeight="1">
      <c r="A27" s="131" t="n"/>
      <c r="B27" s="131" t="n"/>
      <c r="C27" s="131" t="n"/>
      <c r="D27" s="132" t="n"/>
      <c r="E27" s="132" t="n"/>
      <c r="F27" s="99" t="n"/>
      <c r="G27" s="115" t="n"/>
      <c r="H27" s="115" t="n"/>
      <c r="I27" s="130">
        <f>IFERROR(H27/G27*100,"")</f>
        <v/>
      </c>
      <c r="J27" s="131" t="n"/>
      <c r="K27" s="131" t="n"/>
      <c r="L27" s="131" t="n"/>
      <c r="M27" s="96" t="n"/>
      <c r="N27" s="96" t="n"/>
      <c r="O27" s="96" t="n"/>
      <c r="P27" s="96" t="n"/>
      <c r="Q27" s="131" t="n"/>
    </row>
    <row r="28" ht="20" customHeight="1">
      <c r="A28" s="128" t="n"/>
      <c r="B28" s="128" t="n"/>
      <c r="C28" s="128" t="n"/>
      <c r="D28" s="129" t="n"/>
      <c r="E28" s="129" t="n"/>
      <c r="F28" s="95" t="n"/>
      <c r="G28" s="110" t="n"/>
      <c r="H28" s="110" t="n"/>
      <c r="I28" s="130">
        <f>IFERROR(H28/G28*100,"")</f>
        <v/>
      </c>
      <c r="J28" s="128" t="n"/>
      <c r="K28" s="128" t="n"/>
      <c r="L28" s="128" t="n"/>
      <c r="M28" s="92" t="n"/>
      <c r="N28" s="92" t="n"/>
      <c r="O28" s="92" t="n"/>
      <c r="P28" s="92" t="n"/>
      <c r="Q28" s="128" t="n"/>
    </row>
    <row r="29" ht="20" customHeight="1">
      <c r="A29" s="131" t="n"/>
      <c r="B29" s="131" t="n"/>
      <c r="C29" s="131" t="n"/>
      <c r="D29" s="132" t="n"/>
      <c r="E29" s="132" t="n"/>
      <c r="F29" s="99" t="n"/>
      <c r="G29" s="115" t="n"/>
      <c r="H29" s="115" t="n"/>
      <c r="I29" s="130">
        <f>IFERROR(H29/G29*100,"")</f>
        <v/>
      </c>
      <c r="J29" s="131" t="n"/>
      <c r="K29" s="131" t="n"/>
      <c r="L29" s="131" t="n"/>
      <c r="M29" s="96" t="n"/>
      <c r="N29" s="96" t="n"/>
      <c r="O29" s="96" t="n"/>
      <c r="P29" s="96" t="n"/>
      <c r="Q29" s="131" t="n"/>
    </row>
    <row r="30" ht="20" customHeight="1">
      <c r="A30" s="128" t="n"/>
      <c r="B30" s="128" t="n"/>
      <c r="C30" s="128" t="n"/>
      <c r="D30" s="129" t="n"/>
      <c r="E30" s="129" t="n"/>
      <c r="F30" s="95" t="n"/>
      <c r="G30" s="110" t="n"/>
      <c r="H30" s="110" t="n"/>
      <c r="I30" s="130">
        <f>IFERROR(H30/G30*100,"")</f>
        <v/>
      </c>
      <c r="J30" s="128" t="n"/>
      <c r="K30" s="128" t="n"/>
      <c r="L30" s="128" t="n"/>
      <c r="M30" s="92" t="n"/>
      <c r="N30" s="92" t="n"/>
      <c r="O30" s="92" t="n"/>
      <c r="P30" s="92" t="n"/>
      <c r="Q30" s="128" t="n"/>
    </row>
    <row r="31" ht="20" customHeight="1">
      <c r="A31" s="131" t="n"/>
      <c r="B31" s="131" t="n"/>
      <c r="C31" s="131" t="n"/>
      <c r="D31" s="132" t="n"/>
      <c r="E31" s="132" t="n"/>
      <c r="F31" s="99" t="n"/>
      <c r="G31" s="115" t="n"/>
      <c r="H31" s="115" t="n"/>
      <c r="I31" s="130">
        <f>IFERROR(H31/G31*100,"")</f>
        <v/>
      </c>
      <c r="J31" s="131" t="n"/>
      <c r="K31" s="131" t="n"/>
      <c r="L31" s="131" t="n"/>
      <c r="M31" s="96" t="n"/>
      <c r="N31" s="96" t="n"/>
      <c r="O31" s="96" t="n"/>
      <c r="P31" s="96" t="n"/>
      <c r="Q31" s="131" t="n"/>
    </row>
    <row r="32" ht="20" customHeight="1">
      <c r="A32" s="128" t="n"/>
      <c r="B32" s="128" t="n"/>
      <c r="C32" s="128" t="n"/>
      <c r="D32" s="129" t="n"/>
      <c r="E32" s="129" t="n"/>
      <c r="F32" s="95" t="n"/>
      <c r="G32" s="110" t="n"/>
      <c r="H32" s="110" t="n"/>
      <c r="I32" s="130">
        <f>IFERROR(H32/G32*100,"")</f>
        <v/>
      </c>
      <c r="J32" s="128" t="n"/>
      <c r="K32" s="128" t="n"/>
      <c r="L32" s="128" t="n"/>
      <c r="M32" s="92" t="n"/>
      <c r="N32" s="92" t="n"/>
      <c r="O32" s="92" t="n"/>
      <c r="P32" s="92" t="n"/>
      <c r="Q32" s="128" t="n"/>
    </row>
    <row r="33" ht="20" customHeight="1">
      <c r="A33" s="131" t="n"/>
      <c r="B33" s="131" t="n"/>
      <c r="C33" s="131" t="n"/>
      <c r="D33" s="132" t="n"/>
      <c r="E33" s="132" t="n"/>
      <c r="F33" s="99" t="n"/>
      <c r="G33" s="115" t="n"/>
      <c r="H33" s="115" t="n"/>
      <c r="I33" s="130">
        <f>IFERROR(H33/G33*100,"")</f>
        <v/>
      </c>
      <c r="J33" s="131" t="n"/>
      <c r="K33" s="131" t="n"/>
      <c r="L33" s="131" t="n"/>
      <c r="M33" s="96" t="n"/>
      <c r="N33" s="96" t="n"/>
      <c r="O33" s="96" t="n"/>
      <c r="P33" s="96" t="n"/>
      <c r="Q33" s="131" t="n"/>
    </row>
    <row r="34" ht="20" customHeight="1">
      <c r="A34" s="128" t="n"/>
      <c r="B34" s="128" t="n"/>
      <c r="C34" s="128" t="n"/>
      <c r="D34" s="129" t="n"/>
      <c r="E34" s="129" t="n"/>
      <c r="F34" s="95" t="n"/>
      <c r="G34" s="110" t="n"/>
      <c r="H34" s="110" t="n"/>
      <c r="I34" s="130">
        <f>IFERROR(H34/G34*100,"")</f>
        <v/>
      </c>
      <c r="J34" s="128" t="n"/>
      <c r="K34" s="128" t="n"/>
      <c r="L34" s="128" t="n"/>
      <c r="M34" s="92" t="n"/>
      <c r="N34" s="92" t="n"/>
      <c r="O34" s="92" t="n"/>
      <c r="P34" s="92" t="n"/>
      <c r="Q34" s="128" t="n"/>
    </row>
    <row r="35" ht="20" customHeight="1">
      <c r="A35" s="131" t="n"/>
      <c r="B35" s="131" t="n"/>
      <c r="C35" s="131" t="n"/>
      <c r="D35" s="132" t="n"/>
      <c r="E35" s="132" t="n"/>
      <c r="F35" s="99" t="n"/>
      <c r="G35" s="115" t="n"/>
      <c r="H35" s="115" t="n"/>
      <c r="I35" s="130">
        <f>IFERROR(H35/G35*100,"")</f>
        <v/>
      </c>
      <c r="J35" s="131" t="n"/>
      <c r="K35" s="131" t="n"/>
      <c r="L35" s="131" t="n"/>
      <c r="M35" s="96" t="n"/>
      <c r="N35" s="96" t="n"/>
      <c r="O35" s="96" t="n"/>
      <c r="P35" s="96" t="n"/>
      <c r="Q35" s="131" t="n"/>
    </row>
    <row r="36" ht="20" customHeight="1">
      <c r="A36" s="128" t="n"/>
      <c r="B36" s="128" t="n"/>
      <c r="C36" s="128" t="n"/>
      <c r="D36" s="129" t="n"/>
      <c r="E36" s="129" t="n"/>
      <c r="F36" s="95" t="n"/>
      <c r="G36" s="110" t="n"/>
      <c r="H36" s="110" t="n"/>
      <c r="I36" s="130">
        <f>IFERROR(H36/G36*100,"")</f>
        <v/>
      </c>
      <c r="J36" s="128" t="n"/>
      <c r="K36" s="128" t="n"/>
      <c r="L36" s="128" t="n"/>
      <c r="M36" s="92" t="n"/>
      <c r="N36" s="92" t="n"/>
      <c r="O36" s="92" t="n"/>
      <c r="P36" s="92" t="n"/>
      <c r="Q36" s="128" t="n"/>
    </row>
    <row r="37" ht="20" customHeight="1">
      <c r="A37" s="131" t="n"/>
      <c r="B37" s="131" t="n"/>
      <c r="C37" s="131" t="n"/>
      <c r="D37" s="132" t="n"/>
      <c r="E37" s="132" t="n"/>
      <c r="F37" s="99" t="n"/>
      <c r="G37" s="115" t="n"/>
      <c r="H37" s="115" t="n"/>
      <c r="I37" s="130">
        <f>IFERROR(H37/G37*100,"")</f>
        <v/>
      </c>
      <c r="J37" s="131" t="n"/>
      <c r="K37" s="131" t="n"/>
      <c r="L37" s="131" t="n"/>
      <c r="M37" s="96" t="n"/>
      <c r="N37" s="96" t="n"/>
      <c r="O37" s="96" t="n"/>
      <c r="P37" s="96" t="n"/>
      <c r="Q37" s="131" t="n"/>
    </row>
    <row r="38" ht="20" customHeight="1">
      <c r="A38" s="128" t="n"/>
      <c r="B38" s="128" t="n"/>
      <c r="C38" s="128" t="n"/>
      <c r="D38" s="129" t="n"/>
      <c r="E38" s="129" t="n"/>
      <c r="F38" s="95" t="n"/>
      <c r="G38" s="110" t="n"/>
      <c r="H38" s="110" t="n"/>
      <c r="I38" s="130">
        <f>IFERROR(H38/G38*100,"")</f>
        <v/>
      </c>
      <c r="J38" s="128" t="n"/>
      <c r="K38" s="128" t="n"/>
      <c r="L38" s="128" t="n"/>
      <c r="M38" s="92" t="n"/>
      <c r="N38" s="92" t="n"/>
      <c r="O38" s="92" t="n"/>
      <c r="P38" s="92" t="n"/>
      <c r="Q38" s="128" t="n"/>
    </row>
    <row r="39" ht="20" customHeight="1">
      <c r="A39" s="131" t="n"/>
      <c r="B39" s="131" t="n"/>
      <c r="C39" s="131" t="n"/>
      <c r="D39" s="132" t="n"/>
      <c r="E39" s="132" t="n"/>
      <c r="F39" s="99" t="n"/>
      <c r="G39" s="115" t="n"/>
      <c r="H39" s="115" t="n"/>
      <c r="I39" s="130">
        <f>IFERROR(H39/G39*100,"")</f>
        <v/>
      </c>
      <c r="J39" s="131" t="n"/>
      <c r="K39" s="131" t="n"/>
      <c r="L39" s="131" t="n"/>
      <c r="M39" s="96" t="n"/>
      <c r="N39" s="96" t="n"/>
      <c r="O39" s="96" t="n"/>
      <c r="P39" s="96" t="n"/>
      <c r="Q39" s="131" t="n"/>
    </row>
    <row r="40" ht="20" customHeight="1">
      <c r="A40" s="128" t="n"/>
      <c r="B40" s="128" t="n"/>
      <c r="C40" s="128" t="n"/>
      <c r="D40" s="129" t="n"/>
      <c r="E40" s="129" t="n"/>
      <c r="F40" s="95" t="n"/>
      <c r="G40" s="110" t="n"/>
      <c r="H40" s="110" t="n"/>
      <c r="I40" s="130">
        <f>IFERROR(H40/G40*100,"")</f>
        <v/>
      </c>
      <c r="J40" s="128" t="n"/>
      <c r="K40" s="128" t="n"/>
      <c r="L40" s="128" t="n"/>
      <c r="M40" s="92" t="n"/>
      <c r="N40" s="92" t="n"/>
      <c r="O40" s="92" t="n"/>
      <c r="P40" s="92" t="n"/>
      <c r="Q40" s="128" t="n"/>
    </row>
    <row r="41" ht="20" customHeight="1">
      <c r="A41" s="131" t="n"/>
      <c r="B41" s="131" t="n"/>
      <c r="C41" s="131" t="n"/>
      <c r="D41" s="132" t="n"/>
      <c r="E41" s="132" t="n"/>
      <c r="F41" s="99" t="n"/>
      <c r="G41" s="115" t="n"/>
      <c r="H41" s="115" t="n"/>
      <c r="I41" s="130">
        <f>IFERROR(H41/G41*100,"")</f>
        <v/>
      </c>
      <c r="J41" s="131" t="n"/>
      <c r="K41" s="131" t="n"/>
      <c r="L41" s="131" t="n"/>
      <c r="M41" s="96" t="n"/>
      <c r="N41" s="96" t="n"/>
      <c r="O41" s="96" t="n"/>
      <c r="P41" s="96" t="n"/>
      <c r="Q41" s="131" t="n"/>
    </row>
    <row r="42" ht="20" customHeight="1">
      <c r="A42" s="128" t="n"/>
      <c r="B42" s="128" t="n"/>
      <c r="C42" s="128" t="n"/>
      <c r="D42" s="129" t="n"/>
      <c r="E42" s="129" t="n"/>
      <c r="F42" s="95" t="n"/>
      <c r="G42" s="110" t="n"/>
      <c r="H42" s="110" t="n"/>
      <c r="I42" s="130">
        <f>IFERROR(H42/G42*100,"")</f>
        <v/>
      </c>
      <c r="J42" s="128" t="n"/>
      <c r="K42" s="128" t="n"/>
      <c r="L42" s="128" t="n"/>
      <c r="M42" s="92" t="n"/>
      <c r="N42" s="92" t="n"/>
      <c r="O42" s="92" t="n"/>
      <c r="P42" s="92" t="n"/>
      <c r="Q42" s="128" t="n"/>
    </row>
    <row r="43" ht="20" customHeight="1">
      <c r="A43" s="131" t="n"/>
      <c r="B43" s="131" t="n"/>
      <c r="C43" s="131" t="n"/>
      <c r="D43" s="132" t="n"/>
      <c r="E43" s="132" t="n"/>
      <c r="F43" s="99" t="n"/>
      <c r="G43" s="115" t="n"/>
      <c r="H43" s="115" t="n"/>
      <c r="I43" s="130">
        <f>IFERROR(H43/G43*100,"")</f>
        <v/>
      </c>
      <c r="J43" s="131" t="n"/>
      <c r="K43" s="131" t="n"/>
      <c r="L43" s="131" t="n"/>
      <c r="M43" s="96" t="n"/>
      <c r="N43" s="96" t="n"/>
      <c r="O43" s="96" t="n"/>
      <c r="P43" s="96" t="n"/>
      <c r="Q43" s="131" t="n"/>
    </row>
    <row r="44" ht="20" customHeight="1">
      <c r="A44" s="128" t="n"/>
      <c r="B44" s="128" t="n"/>
      <c r="C44" s="128" t="n"/>
      <c r="D44" s="129" t="n"/>
      <c r="E44" s="129" t="n"/>
      <c r="F44" s="95" t="n"/>
      <c r="G44" s="110" t="n"/>
      <c r="H44" s="110" t="n"/>
      <c r="I44" s="130">
        <f>IFERROR(H44/G44*100,"")</f>
        <v/>
      </c>
      <c r="J44" s="128" t="n"/>
      <c r="K44" s="128" t="n"/>
      <c r="L44" s="128" t="n"/>
      <c r="M44" s="92" t="n"/>
      <c r="N44" s="92" t="n"/>
      <c r="O44" s="92" t="n"/>
      <c r="P44" s="92" t="n"/>
      <c r="Q44" s="128" t="n"/>
    </row>
    <row r="45" ht="20" customHeight="1">
      <c r="A45" s="131" t="n"/>
      <c r="B45" s="131" t="n"/>
      <c r="C45" s="131" t="n"/>
      <c r="D45" s="132" t="n"/>
      <c r="E45" s="132" t="n"/>
      <c r="F45" s="99" t="n"/>
      <c r="G45" s="115" t="n"/>
      <c r="H45" s="115" t="n"/>
      <c r="I45" s="130">
        <f>IFERROR(H45/G45*100,"")</f>
        <v/>
      </c>
      <c r="J45" s="131" t="n"/>
      <c r="K45" s="131" t="n"/>
      <c r="L45" s="131" t="n"/>
      <c r="M45" s="96" t="n"/>
      <c r="N45" s="96" t="n"/>
      <c r="O45" s="96" t="n"/>
      <c r="P45" s="96" t="n"/>
      <c r="Q45" s="131" t="n"/>
    </row>
    <row r="46" ht="20" customHeight="1">
      <c r="A46" s="128" t="n"/>
      <c r="B46" s="128" t="n"/>
      <c r="C46" s="128" t="n"/>
      <c r="D46" s="129" t="n"/>
      <c r="E46" s="129" t="n"/>
      <c r="F46" s="95" t="n"/>
      <c r="G46" s="110" t="n"/>
      <c r="H46" s="110" t="n"/>
      <c r="I46" s="130">
        <f>IFERROR(H46/G46*100,"")</f>
        <v/>
      </c>
      <c r="J46" s="128" t="n"/>
      <c r="K46" s="128" t="n"/>
      <c r="L46" s="128" t="n"/>
      <c r="M46" s="92" t="n"/>
      <c r="N46" s="92" t="n"/>
      <c r="O46" s="92" t="n"/>
      <c r="P46" s="92" t="n"/>
      <c r="Q46" s="128" t="n"/>
    </row>
    <row r="47" ht="20" customHeight="1">
      <c r="A47" s="131" t="n"/>
      <c r="B47" s="131" t="n"/>
      <c r="C47" s="131" t="n"/>
      <c r="D47" s="132" t="n"/>
      <c r="E47" s="132" t="n"/>
      <c r="F47" s="99" t="n"/>
      <c r="G47" s="115" t="n"/>
      <c r="H47" s="115" t="n"/>
      <c r="I47" s="130">
        <f>IFERROR(H47/G47*100,"")</f>
        <v/>
      </c>
      <c r="J47" s="131" t="n"/>
      <c r="K47" s="131" t="n"/>
      <c r="L47" s="131" t="n"/>
      <c r="M47" s="96" t="n"/>
      <c r="N47" s="96" t="n"/>
      <c r="O47" s="96" t="n"/>
      <c r="P47" s="96" t="n"/>
      <c r="Q47" s="131" t="n"/>
    </row>
    <row r="48" ht="20" customHeight="1">
      <c r="A48" s="128" t="n"/>
      <c r="B48" s="128" t="n"/>
      <c r="C48" s="128" t="n"/>
      <c r="D48" s="129" t="n"/>
      <c r="E48" s="129" t="n"/>
      <c r="F48" s="95" t="n"/>
      <c r="G48" s="110" t="n"/>
      <c r="H48" s="110" t="n"/>
      <c r="I48" s="130">
        <f>IFERROR(H48/G48*100,"")</f>
        <v/>
      </c>
      <c r="J48" s="128" t="n"/>
      <c r="K48" s="128" t="n"/>
      <c r="L48" s="128" t="n"/>
      <c r="M48" s="92" t="n"/>
      <c r="N48" s="92" t="n"/>
      <c r="O48" s="92" t="n"/>
      <c r="P48" s="92" t="n"/>
      <c r="Q48" s="128" t="n"/>
    </row>
    <row r="49" ht="20" customHeight="1">
      <c r="A49" s="131" t="n"/>
      <c r="B49" s="131" t="n"/>
      <c r="C49" s="131" t="n"/>
      <c r="D49" s="132" t="n"/>
      <c r="E49" s="132" t="n"/>
      <c r="F49" s="99" t="n"/>
      <c r="G49" s="115" t="n"/>
      <c r="H49" s="115" t="n"/>
      <c r="I49" s="130">
        <f>IFERROR(H49/G49*100,"")</f>
        <v/>
      </c>
      <c r="J49" s="131" t="n"/>
      <c r="K49" s="131" t="n"/>
      <c r="L49" s="131" t="n"/>
      <c r="M49" s="96" t="n"/>
      <c r="N49" s="96" t="n"/>
      <c r="O49" s="96" t="n"/>
      <c r="P49" s="96" t="n"/>
      <c r="Q49" s="131" t="n"/>
    </row>
    <row r="50" ht="20" customHeight="1">
      <c r="A50" s="128" t="n"/>
      <c r="B50" s="128" t="n"/>
      <c r="C50" s="128" t="n"/>
      <c r="D50" s="129" t="n"/>
      <c r="E50" s="129" t="n"/>
      <c r="F50" s="95" t="n"/>
      <c r="G50" s="110" t="n"/>
      <c r="H50" s="110" t="n"/>
      <c r="I50" s="130">
        <f>IFERROR(H50/G50*100,"")</f>
        <v/>
      </c>
      <c r="J50" s="128" t="n"/>
      <c r="K50" s="128" t="n"/>
      <c r="L50" s="128" t="n"/>
      <c r="M50" s="92" t="n"/>
      <c r="N50" s="92" t="n"/>
      <c r="O50" s="92" t="n"/>
      <c r="P50" s="92" t="n"/>
      <c r="Q50" s="128" t="n"/>
    </row>
    <row r="51" ht="20" customHeight="1">
      <c r="A51" s="131" t="n"/>
      <c r="B51" s="131" t="n"/>
      <c r="C51" s="131" t="n"/>
      <c r="D51" s="132" t="n"/>
      <c r="E51" s="132" t="n"/>
      <c r="F51" s="99" t="n"/>
      <c r="G51" s="115" t="n"/>
      <c r="H51" s="115" t="n"/>
      <c r="I51" s="130">
        <f>IFERROR(H51/G51*100,"")</f>
        <v/>
      </c>
      <c r="J51" s="131" t="n"/>
      <c r="K51" s="131" t="n"/>
      <c r="L51" s="131" t="n"/>
      <c r="M51" s="96" t="n"/>
      <c r="N51" s="96" t="n"/>
      <c r="O51" s="96" t="n"/>
      <c r="P51" s="96" t="n"/>
      <c r="Q51" s="131" t="n"/>
    </row>
    <row r="52" ht="20" customHeight="1">
      <c r="A52" s="128" t="n"/>
      <c r="B52" s="128" t="n"/>
      <c r="C52" s="128" t="n"/>
      <c r="D52" s="129" t="n"/>
      <c r="E52" s="129" t="n"/>
      <c r="F52" s="95" t="n"/>
      <c r="G52" s="110" t="n"/>
      <c r="H52" s="110" t="n"/>
      <c r="I52" s="130">
        <f>IFERROR(H52/G52*100,"")</f>
        <v/>
      </c>
      <c r="J52" s="128" t="n"/>
      <c r="K52" s="128" t="n"/>
      <c r="L52" s="128" t="n"/>
      <c r="M52" s="92" t="n"/>
      <c r="N52" s="92" t="n"/>
      <c r="O52" s="92" t="n"/>
      <c r="P52" s="92" t="n"/>
      <c r="Q52" s="128" t="n"/>
    </row>
    <row r="53" ht="20" customHeight="1">
      <c r="A53" s="131" t="n"/>
      <c r="B53" s="131" t="n"/>
      <c r="C53" s="131" t="n"/>
      <c r="D53" s="132" t="n"/>
      <c r="E53" s="132" t="n"/>
      <c r="F53" s="99" t="n"/>
      <c r="G53" s="115" t="n"/>
      <c r="H53" s="115" t="n"/>
      <c r="I53" s="130">
        <f>IFERROR(H53/G53*100,"")</f>
        <v/>
      </c>
      <c r="J53" s="131" t="n"/>
      <c r="K53" s="131" t="n"/>
      <c r="L53" s="131" t="n"/>
      <c r="M53" s="96" t="n"/>
      <c r="N53" s="96" t="n"/>
      <c r="O53" s="96" t="n"/>
      <c r="P53" s="96" t="n"/>
      <c r="Q53" s="131" t="n"/>
    </row>
    <row r="54" ht="20" customHeight="1">
      <c r="A54" s="128" t="n"/>
      <c r="B54" s="128" t="n"/>
      <c r="C54" s="128" t="n"/>
      <c r="D54" s="129" t="n"/>
      <c r="E54" s="129" t="n"/>
      <c r="F54" s="95" t="n"/>
      <c r="G54" s="110" t="n"/>
      <c r="H54" s="110" t="n"/>
      <c r="I54" s="130">
        <f>IFERROR(H54/G54*100,"")</f>
        <v/>
      </c>
      <c r="J54" s="128" t="n"/>
      <c r="K54" s="128" t="n"/>
      <c r="L54" s="128" t="n"/>
      <c r="M54" s="92" t="n"/>
      <c r="N54" s="92" t="n"/>
      <c r="O54" s="92" t="n"/>
      <c r="P54" s="92" t="n"/>
      <c r="Q54" s="128" t="n"/>
    </row>
    <row r="55" ht="20" customHeight="1">
      <c r="A55" s="131" t="n"/>
      <c r="B55" s="131" t="n"/>
      <c r="C55" s="131" t="n"/>
      <c r="D55" s="132" t="n"/>
      <c r="E55" s="132" t="n"/>
      <c r="F55" s="99" t="n"/>
      <c r="G55" s="115" t="n"/>
      <c r="H55" s="115" t="n"/>
      <c r="I55" s="130">
        <f>IFERROR(H55/G55*100,"")</f>
        <v/>
      </c>
      <c r="J55" s="131" t="n"/>
      <c r="K55" s="131" t="n"/>
      <c r="L55" s="131" t="n"/>
      <c r="M55" s="96" t="n"/>
      <c r="N55" s="96" t="n"/>
      <c r="O55" s="96" t="n"/>
      <c r="P55" s="96" t="n"/>
      <c r="Q55" s="131" t="n"/>
    </row>
  </sheetData>
  <mergeCells count="4">
    <mergeCell ref="A3:Q3"/>
    <mergeCell ref="A2:Q2"/>
    <mergeCell ref="A1:Q1"/>
    <mergeCell ref="A4:Q4"/>
  </mergeCells>
  <dataValidations count="3">
    <dataValidation sqref="B6:B55" showDropDown="0" showInputMessage="0" showErrorMessage="0" allowBlank="1" type="list">
      <formula1>"Brand Awareness,Reach,Engagement,Website Traffic,Lead Generation,Product Launch,Seasonal Promo,Retargeting"</formula1>
    </dataValidation>
    <dataValidation sqref="F6:F55" showDropDown="0" showInputMessage="0" showErrorMessage="0" allowBlank="1" type="list">
      <formula1>"Planning,Active,Paused,Completed,Cancelled"</formula1>
    </dataValidation>
    <dataValidation sqref="C6:C55" showDropDown="0" showInputMessage="0" showErrorMessage="0" allowBlank="1" type="list">
      <formula1>"Hemp Seed Oil 500ml,Hemp Protein Powder 1kg,Hemp Hearts 500g,Hemp Granola 400g,Hemp Energy Bar (Box 12),Hemp Superfood Blend 300g,Hemp Omega Capsules 60s,Hemp Infused Honey 250g,Hemp Seed Butter 400g,Hemp Flour 1kg"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17" customWidth="1" min="3" max="3"/>
    <col width="18" customWidth="1" min="4" max="4"/>
    <col width="12" customWidth="1" min="5" max="5"/>
    <col width="14" customWidth="1" min="6" max="6"/>
    <col width="13" customWidth="1" min="7" max="7"/>
    <col width="15" customWidth="1" min="8" max="8"/>
    <col width="13" customWidth="1" min="9" max="9"/>
    <col width="13" customWidth="1" min="10" max="10"/>
    <col width="14" customWidth="1" min="11" max="11"/>
    <col width="12" customWidth="1" min="13" max="13"/>
    <col width="30" customWidth="1" min="14" max="14"/>
  </cols>
  <sheetData>
    <row r="1" ht="42" customHeight="1">
      <c r="A1" s="75" t="inlineStr">
        <is>
          <t xml:space="preserve">   📦  PRODUCT MARKETING  —  Monthly Performance per Product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</row>
    <row r="2" ht="22" customHeight="1">
      <c r="A2" s="37" t="inlineStr">
        <is>
          <t>One row per product per month. Track marketing investment and visibility for each of the 10 Foods Line SKUs.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16" customHeight="1">
      <c r="A3" s="76" t="inlineStr">
        <is>
          <t>INVEGROW  |  Foods Line Marketing  |  All monetary values in ZAR (R)  |  Rating out of 5  |  NPS: -100 to +100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0" customHeight="1">
      <c r="A4" s="77" t="inlineStr">
        <is>
          <t>⚡  Online Mentions = brand + product mentions across all channels  |  Link campaigns to Campaign Tracker sheet</t>
        </is>
      </c>
      <c r="B4" s="78" t="n"/>
      <c r="C4" s="78" t="n"/>
      <c r="D4" s="78" t="n"/>
      <c r="E4" s="78" t="n"/>
      <c r="F4" s="78" t="n"/>
      <c r="G4" s="78" t="n"/>
      <c r="H4" s="78" t="n"/>
      <c r="I4" s="78" t="n"/>
      <c r="J4" s="78" t="n"/>
      <c r="K4" s="78" t="n"/>
      <c r="L4" s="78" t="n"/>
      <c r="M4" s="78" t="n"/>
      <c r="N4" s="78" t="n"/>
    </row>
    <row r="5" ht="38" customHeight="1">
      <c r="A5" s="85" t="inlineStr">
        <is>
          <t>MONTH</t>
        </is>
      </c>
      <c r="B5" s="104" t="inlineStr">
        <is>
          <t>PRODUCT NAME</t>
        </is>
      </c>
      <c r="C5" s="86" t="inlineStr">
        <is>
          <t>MKTG BUDGET
ALLOCATED (R)</t>
        </is>
      </c>
      <c r="D5" s="87" t="inlineStr">
        <is>
          <t>CHANNELS
ACTIVATED</t>
        </is>
      </c>
      <c r="E5" s="87" t="inlineStr">
        <is>
          <t>CAMPAIGNS
RAN</t>
        </is>
      </c>
      <c r="F5" s="88" t="inlineStr">
        <is>
          <t>TOTAL
IMPRESSIONS</t>
        </is>
      </c>
      <c r="G5" s="88" t="inlineStr">
        <is>
          <t>TOTAL
REACH</t>
        </is>
      </c>
      <c r="H5" s="88" t="inlineStr">
        <is>
          <t>TOTAL
ENGAGEMENTS</t>
        </is>
      </c>
      <c r="I5" s="89" t="inlineStr">
        <is>
          <t>ONLINE
MENTIONS</t>
        </is>
      </c>
      <c r="J5" s="89" t="inlineStr">
        <is>
          <t>CUSTOMER
REVIEWS</t>
        </is>
      </c>
      <c r="K5" s="89" t="inlineStr">
        <is>
          <t>AVG REVIEW
RATING /5</t>
        </is>
      </c>
      <c r="L5" s="86" t="inlineStr">
        <is>
          <t>NPS
SCORE</t>
        </is>
      </c>
      <c r="M5" s="104" t="inlineStr">
        <is>
          <t>ACTIVE
PROMO?</t>
        </is>
      </c>
      <c r="N5" s="90" t="inlineStr">
        <is>
          <t>NOTES</t>
        </is>
      </c>
    </row>
    <row r="6" ht="18" customHeight="1">
      <c r="A6" s="91" t="inlineStr">
        <is>
          <t>Jan-25</t>
        </is>
      </c>
      <c r="B6" s="133" t="inlineStr">
        <is>
          <t>Hemp Seed Oil 500ml</t>
        </is>
      </c>
      <c r="C6" s="110" t="n"/>
      <c r="D6" s="95" t="n"/>
      <c r="E6" s="92" t="n"/>
      <c r="F6" s="92" t="n"/>
      <c r="G6" s="92" t="n"/>
      <c r="H6" s="92" t="n"/>
      <c r="I6" s="92" t="n"/>
      <c r="J6" s="92" t="n"/>
      <c r="K6" s="93" t="n"/>
      <c r="L6" s="134" t="n"/>
      <c r="M6" s="95" t="n"/>
      <c r="N6" s="95" t="n"/>
    </row>
    <row r="7" ht="18" customHeight="1">
      <c r="A7" s="91" t="inlineStr">
        <is>
          <t>Jan-25</t>
        </is>
      </c>
      <c r="B7" s="133" t="inlineStr">
        <is>
          <t>Hemp Protein Powder 1kg</t>
        </is>
      </c>
      <c r="C7" s="115" t="n"/>
      <c r="D7" s="99" t="n"/>
      <c r="E7" s="96" t="n"/>
      <c r="F7" s="96" t="n"/>
      <c r="G7" s="96" t="n"/>
      <c r="H7" s="96" t="n"/>
      <c r="I7" s="96" t="n"/>
      <c r="J7" s="96" t="n"/>
      <c r="K7" s="97" t="n"/>
      <c r="L7" s="135" t="n"/>
      <c r="M7" s="99" t="n"/>
      <c r="N7" s="99" t="n"/>
    </row>
    <row r="8" ht="18" customHeight="1">
      <c r="A8" s="91" t="inlineStr">
        <is>
          <t>Jan-25</t>
        </is>
      </c>
      <c r="B8" s="133" t="inlineStr">
        <is>
          <t>Hemp Hearts 500g</t>
        </is>
      </c>
      <c r="C8" s="110" t="n"/>
      <c r="D8" s="95" t="n"/>
      <c r="E8" s="92" t="n"/>
      <c r="F8" s="92" t="n"/>
      <c r="G8" s="92" t="n"/>
      <c r="H8" s="92" t="n"/>
      <c r="I8" s="92" t="n"/>
      <c r="J8" s="92" t="n"/>
      <c r="K8" s="93" t="n"/>
      <c r="L8" s="134" t="n"/>
      <c r="M8" s="95" t="n"/>
      <c r="N8" s="95" t="n"/>
    </row>
    <row r="9" ht="18" customHeight="1">
      <c r="A9" s="91" t="inlineStr">
        <is>
          <t>Jan-25</t>
        </is>
      </c>
      <c r="B9" s="133" t="inlineStr">
        <is>
          <t>Hemp Granola 400g</t>
        </is>
      </c>
      <c r="C9" s="115" t="n"/>
      <c r="D9" s="99" t="n"/>
      <c r="E9" s="96" t="n"/>
      <c r="F9" s="96" t="n"/>
      <c r="G9" s="96" t="n"/>
      <c r="H9" s="96" t="n"/>
      <c r="I9" s="96" t="n"/>
      <c r="J9" s="96" t="n"/>
      <c r="K9" s="97" t="n"/>
      <c r="L9" s="135" t="n"/>
      <c r="M9" s="99" t="n"/>
      <c r="N9" s="99" t="n"/>
    </row>
    <row r="10" ht="18" customHeight="1">
      <c r="A10" s="91" t="inlineStr">
        <is>
          <t>Jan-25</t>
        </is>
      </c>
      <c r="B10" s="133" t="inlineStr">
        <is>
          <t>Hemp Energy Bar (Box 12)</t>
        </is>
      </c>
      <c r="C10" s="110" t="n"/>
      <c r="D10" s="95" t="n"/>
      <c r="E10" s="92" t="n"/>
      <c r="F10" s="92" t="n"/>
      <c r="G10" s="92" t="n"/>
      <c r="H10" s="92" t="n"/>
      <c r="I10" s="92" t="n"/>
      <c r="J10" s="92" t="n"/>
      <c r="K10" s="93" t="n"/>
      <c r="L10" s="134" t="n"/>
      <c r="M10" s="95" t="n"/>
      <c r="N10" s="95" t="n"/>
    </row>
    <row r="11" ht="18" customHeight="1">
      <c r="A11" s="91" t="inlineStr">
        <is>
          <t>Jan-25</t>
        </is>
      </c>
      <c r="B11" s="133" t="inlineStr">
        <is>
          <t>Hemp Superfood Blend 300g</t>
        </is>
      </c>
      <c r="C11" s="115" t="n"/>
      <c r="D11" s="99" t="n"/>
      <c r="E11" s="96" t="n"/>
      <c r="F11" s="96" t="n"/>
      <c r="G11" s="96" t="n"/>
      <c r="H11" s="96" t="n"/>
      <c r="I11" s="96" t="n"/>
      <c r="J11" s="96" t="n"/>
      <c r="K11" s="97" t="n"/>
      <c r="L11" s="135" t="n"/>
      <c r="M11" s="99" t="n"/>
      <c r="N11" s="99" t="n"/>
    </row>
    <row r="12" ht="18" customHeight="1">
      <c r="A12" s="91" t="inlineStr">
        <is>
          <t>Jan-25</t>
        </is>
      </c>
      <c r="B12" s="133" t="inlineStr">
        <is>
          <t>Hemp Omega Capsules 60s</t>
        </is>
      </c>
      <c r="C12" s="110" t="n"/>
      <c r="D12" s="95" t="n"/>
      <c r="E12" s="92" t="n"/>
      <c r="F12" s="92" t="n"/>
      <c r="G12" s="92" t="n"/>
      <c r="H12" s="92" t="n"/>
      <c r="I12" s="92" t="n"/>
      <c r="J12" s="92" t="n"/>
      <c r="K12" s="93" t="n"/>
      <c r="L12" s="134" t="n"/>
      <c r="M12" s="95" t="n"/>
      <c r="N12" s="95" t="n"/>
    </row>
    <row r="13" ht="18" customHeight="1">
      <c r="A13" s="91" t="inlineStr">
        <is>
          <t>Jan-25</t>
        </is>
      </c>
      <c r="B13" s="133" t="inlineStr">
        <is>
          <t>Hemp Infused Honey 250g</t>
        </is>
      </c>
      <c r="C13" s="115" t="n"/>
      <c r="D13" s="99" t="n"/>
      <c r="E13" s="96" t="n"/>
      <c r="F13" s="96" t="n"/>
      <c r="G13" s="96" t="n"/>
      <c r="H13" s="96" t="n"/>
      <c r="I13" s="96" t="n"/>
      <c r="J13" s="96" t="n"/>
      <c r="K13" s="97" t="n"/>
      <c r="L13" s="135" t="n"/>
      <c r="M13" s="99" t="n"/>
      <c r="N13" s="99" t="n"/>
    </row>
    <row r="14" ht="18" customHeight="1">
      <c r="A14" s="91" t="inlineStr">
        <is>
          <t>Jan-25</t>
        </is>
      </c>
      <c r="B14" s="133" t="inlineStr">
        <is>
          <t>Hemp Seed Butter 400g</t>
        </is>
      </c>
      <c r="C14" s="110" t="n"/>
      <c r="D14" s="95" t="n"/>
      <c r="E14" s="92" t="n"/>
      <c r="F14" s="92" t="n"/>
      <c r="G14" s="92" t="n"/>
      <c r="H14" s="92" t="n"/>
      <c r="I14" s="92" t="n"/>
      <c r="J14" s="92" t="n"/>
      <c r="K14" s="93" t="n"/>
      <c r="L14" s="134" t="n"/>
      <c r="M14" s="95" t="n"/>
      <c r="N14" s="95" t="n"/>
    </row>
    <row r="15" ht="18" customHeight="1">
      <c r="A15" s="91" t="inlineStr">
        <is>
          <t>Jan-25</t>
        </is>
      </c>
      <c r="B15" s="133" t="inlineStr">
        <is>
          <t>Hemp Flour 1kg</t>
        </is>
      </c>
      <c r="C15" s="115" t="n"/>
      <c r="D15" s="99" t="n"/>
      <c r="E15" s="96" t="n"/>
      <c r="F15" s="96" t="n"/>
      <c r="G15" s="96" t="n"/>
      <c r="H15" s="96" t="n"/>
      <c r="I15" s="96" t="n"/>
      <c r="J15" s="96" t="n"/>
      <c r="K15" s="97" t="n"/>
      <c r="L15" s="135" t="n"/>
      <c r="M15" s="99" t="n"/>
      <c r="N15" s="99" t="n"/>
    </row>
    <row r="16" ht="18" customHeight="1">
      <c r="A16" s="91" t="inlineStr">
        <is>
          <t>Feb-25</t>
        </is>
      </c>
      <c r="B16" s="133" t="inlineStr">
        <is>
          <t>Hemp Seed Oil 500ml</t>
        </is>
      </c>
      <c r="C16" s="110" t="n"/>
      <c r="D16" s="95" t="n"/>
      <c r="E16" s="92" t="n"/>
      <c r="F16" s="92" t="n"/>
      <c r="G16" s="92" t="n"/>
      <c r="H16" s="92" t="n"/>
      <c r="I16" s="92" t="n"/>
      <c r="J16" s="92" t="n"/>
      <c r="K16" s="93" t="n"/>
      <c r="L16" s="134" t="n"/>
      <c r="M16" s="95" t="n"/>
      <c r="N16" s="95" t="n"/>
    </row>
    <row r="17" ht="18" customHeight="1">
      <c r="A17" s="91" t="inlineStr">
        <is>
          <t>Feb-25</t>
        </is>
      </c>
      <c r="B17" s="133" t="inlineStr">
        <is>
          <t>Hemp Protein Powder 1kg</t>
        </is>
      </c>
      <c r="C17" s="115" t="n"/>
      <c r="D17" s="99" t="n"/>
      <c r="E17" s="96" t="n"/>
      <c r="F17" s="96" t="n"/>
      <c r="G17" s="96" t="n"/>
      <c r="H17" s="96" t="n"/>
      <c r="I17" s="96" t="n"/>
      <c r="J17" s="96" t="n"/>
      <c r="K17" s="97" t="n"/>
      <c r="L17" s="135" t="n"/>
      <c r="M17" s="99" t="n"/>
      <c r="N17" s="99" t="n"/>
    </row>
    <row r="18" ht="18" customHeight="1">
      <c r="A18" s="91" t="inlineStr">
        <is>
          <t>Feb-25</t>
        </is>
      </c>
      <c r="B18" s="133" t="inlineStr">
        <is>
          <t>Hemp Hearts 500g</t>
        </is>
      </c>
      <c r="C18" s="110" t="n"/>
      <c r="D18" s="95" t="n"/>
      <c r="E18" s="92" t="n"/>
      <c r="F18" s="92" t="n"/>
      <c r="G18" s="92" t="n"/>
      <c r="H18" s="92" t="n"/>
      <c r="I18" s="92" t="n"/>
      <c r="J18" s="92" t="n"/>
      <c r="K18" s="93" t="n"/>
      <c r="L18" s="134" t="n"/>
      <c r="M18" s="95" t="n"/>
      <c r="N18" s="95" t="n"/>
    </row>
    <row r="19" ht="18" customHeight="1">
      <c r="A19" s="91" t="inlineStr">
        <is>
          <t>Feb-25</t>
        </is>
      </c>
      <c r="B19" s="133" t="inlineStr">
        <is>
          <t>Hemp Granola 400g</t>
        </is>
      </c>
      <c r="C19" s="115" t="n"/>
      <c r="D19" s="99" t="n"/>
      <c r="E19" s="96" t="n"/>
      <c r="F19" s="96" t="n"/>
      <c r="G19" s="96" t="n"/>
      <c r="H19" s="96" t="n"/>
      <c r="I19" s="96" t="n"/>
      <c r="J19" s="96" t="n"/>
      <c r="K19" s="97" t="n"/>
      <c r="L19" s="135" t="n"/>
      <c r="M19" s="99" t="n"/>
      <c r="N19" s="99" t="n"/>
    </row>
    <row r="20" ht="18" customHeight="1">
      <c r="A20" s="91" t="inlineStr">
        <is>
          <t>Feb-25</t>
        </is>
      </c>
      <c r="B20" s="133" t="inlineStr">
        <is>
          <t>Hemp Energy Bar (Box 12)</t>
        </is>
      </c>
      <c r="C20" s="110" t="n"/>
      <c r="D20" s="95" t="n"/>
      <c r="E20" s="92" t="n"/>
      <c r="F20" s="92" t="n"/>
      <c r="G20" s="92" t="n"/>
      <c r="H20" s="92" t="n"/>
      <c r="I20" s="92" t="n"/>
      <c r="J20" s="92" t="n"/>
      <c r="K20" s="93" t="n"/>
      <c r="L20" s="134" t="n"/>
      <c r="M20" s="95" t="n"/>
      <c r="N20" s="95" t="n"/>
    </row>
    <row r="21" ht="18" customHeight="1">
      <c r="A21" s="91" t="inlineStr">
        <is>
          <t>Feb-25</t>
        </is>
      </c>
      <c r="B21" s="133" t="inlineStr">
        <is>
          <t>Hemp Superfood Blend 300g</t>
        </is>
      </c>
      <c r="C21" s="115" t="n"/>
      <c r="D21" s="99" t="n"/>
      <c r="E21" s="96" t="n"/>
      <c r="F21" s="96" t="n"/>
      <c r="G21" s="96" t="n"/>
      <c r="H21" s="96" t="n"/>
      <c r="I21" s="96" t="n"/>
      <c r="J21" s="96" t="n"/>
      <c r="K21" s="97" t="n"/>
      <c r="L21" s="135" t="n"/>
      <c r="M21" s="99" t="n"/>
      <c r="N21" s="99" t="n"/>
    </row>
    <row r="22" ht="18" customHeight="1">
      <c r="A22" s="91" t="inlineStr">
        <is>
          <t>Feb-25</t>
        </is>
      </c>
      <c r="B22" s="133" t="inlineStr">
        <is>
          <t>Hemp Omega Capsules 60s</t>
        </is>
      </c>
      <c r="C22" s="110" t="n"/>
      <c r="D22" s="95" t="n"/>
      <c r="E22" s="92" t="n"/>
      <c r="F22" s="92" t="n"/>
      <c r="G22" s="92" t="n"/>
      <c r="H22" s="92" t="n"/>
      <c r="I22" s="92" t="n"/>
      <c r="J22" s="92" t="n"/>
      <c r="K22" s="93" t="n"/>
      <c r="L22" s="134" t="n"/>
      <c r="M22" s="95" t="n"/>
      <c r="N22" s="95" t="n"/>
    </row>
    <row r="23" ht="18" customHeight="1">
      <c r="A23" s="91" t="inlineStr">
        <is>
          <t>Feb-25</t>
        </is>
      </c>
      <c r="B23" s="133" t="inlineStr">
        <is>
          <t>Hemp Infused Honey 250g</t>
        </is>
      </c>
      <c r="C23" s="115" t="n"/>
      <c r="D23" s="99" t="n"/>
      <c r="E23" s="96" t="n"/>
      <c r="F23" s="96" t="n"/>
      <c r="G23" s="96" t="n"/>
      <c r="H23" s="96" t="n"/>
      <c r="I23" s="96" t="n"/>
      <c r="J23" s="96" t="n"/>
      <c r="K23" s="97" t="n"/>
      <c r="L23" s="135" t="n"/>
      <c r="M23" s="99" t="n"/>
      <c r="N23" s="99" t="n"/>
    </row>
    <row r="24" ht="18" customHeight="1">
      <c r="A24" s="91" t="inlineStr">
        <is>
          <t>Feb-25</t>
        </is>
      </c>
      <c r="B24" s="133" t="inlineStr">
        <is>
          <t>Hemp Seed Butter 400g</t>
        </is>
      </c>
      <c r="C24" s="110" t="n"/>
      <c r="D24" s="95" t="n"/>
      <c r="E24" s="92" t="n"/>
      <c r="F24" s="92" t="n"/>
      <c r="G24" s="92" t="n"/>
      <c r="H24" s="92" t="n"/>
      <c r="I24" s="92" t="n"/>
      <c r="J24" s="92" t="n"/>
      <c r="K24" s="93" t="n"/>
      <c r="L24" s="134" t="n"/>
      <c r="M24" s="95" t="n"/>
      <c r="N24" s="95" t="n"/>
    </row>
    <row r="25" ht="18" customHeight="1">
      <c r="A25" s="91" t="inlineStr">
        <is>
          <t>Feb-25</t>
        </is>
      </c>
      <c r="B25" s="133" t="inlineStr">
        <is>
          <t>Hemp Flour 1kg</t>
        </is>
      </c>
      <c r="C25" s="115" t="n"/>
      <c r="D25" s="99" t="n"/>
      <c r="E25" s="96" t="n"/>
      <c r="F25" s="96" t="n"/>
      <c r="G25" s="96" t="n"/>
      <c r="H25" s="96" t="n"/>
      <c r="I25" s="96" t="n"/>
      <c r="J25" s="96" t="n"/>
      <c r="K25" s="97" t="n"/>
      <c r="L25" s="135" t="n"/>
      <c r="M25" s="99" t="n"/>
      <c r="N25" s="99" t="n"/>
    </row>
    <row r="26" ht="18" customHeight="1">
      <c r="A26" s="91" t="inlineStr">
        <is>
          <t>Mar-25</t>
        </is>
      </c>
      <c r="B26" s="133" t="inlineStr">
        <is>
          <t>Hemp Seed Oil 500ml</t>
        </is>
      </c>
      <c r="C26" s="110" t="n"/>
      <c r="D26" s="95" t="n"/>
      <c r="E26" s="92" t="n"/>
      <c r="F26" s="92" t="n"/>
      <c r="G26" s="92" t="n"/>
      <c r="H26" s="92" t="n"/>
      <c r="I26" s="92" t="n"/>
      <c r="J26" s="92" t="n"/>
      <c r="K26" s="93" t="n"/>
      <c r="L26" s="134" t="n"/>
      <c r="M26" s="95" t="n"/>
      <c r="N26" s="95" t="n"/>
    </row>
    <row r="27" ht="18" customHeight="1">
      <c r="A27" s="91" t="inlineStr">
        <is>
          <t>Mar-25</t>
        </is>
      </c>
      <c r="B27" s="133" t="inlineStr">
        <is>
          <t>Hemp Protein Powder 1kg</t>
        </is>
      </c>
      <c r="C27" s="115" t="n"/>
      <c r="D27" s="99" t="n"/>
      <c r="E27" s="96" t="n"/>
      <c r="F27" s="96" t="n"/>
      <c r="G27" s="96" t="n"/>
      <c r="H27" s="96" t="n"/>
      <c r="I27" s="96" t="n"/>
      <c r="J27" s="96" t="n"/>
      <c r="K27" s="97" t="n"/>
      <c r="L27" s="135" t="n"/>
      <c r="M27" s="99" t="n"/>
      <c r="N27" s="99" t="n"/>
    </row>
    <row r="28" ht="18" customHeight="1">
      <c r="A28" s="91" t="inlineStr">
        <is>
          <t>Mar-25</t>
        </is>
      </c>
      <c r="B28" s="133" t="inlineStr">
        <is>
          <t>Hemp Hearts 500g</t>
        </is>
      </c>
      <c r="C28" s="110" t="n"/>
      <c r="D28" s="95" t="n"/>
      <c r="E28" s="92" t="n"/>
      <c r="F28" s="92" t="n"/>
      <c r="G28" s="92" t="n"/>
      <c r="H28" s="92" t="n"/>
      <c r="I28" s="92" t="n"/>
      <c r="J28" s="92" t="n"/>
      <c r="K28" s="93" t="n"/>
      <c r="L28" s="134" t="n"/>
      <c r="M28" s="95" t="n"/>
      <c r="N28" s="95" t="n"/>
    </row>
    <row r="29" ht="18" customHeight="1">
      <c r="A29" s="91" t="inlineStr">
        <is>
          <t>Mar-25</t>
        </is>
      </c>
      <c r="B29" s="133" t="inlineStr">
        <is>
          <t>Hemp Granola 400g</t>
        </is>
      </c>
      <c r="C29" s="115" t="n"/>
      <c r="D29" s="99" t="n"/>
      <c r="E29" s="96" t="n"/>
      <c r="F29" s="96" t="n"/>
      <c r="G29" s="96" t="n"/>
      <c r="H29" s="96" t="n"/>
      <c r="I29" s="96" t="n"/>
      <c r="J29" s="96" t="n"/>
      <c r="K29" s="97" t="n"/>
      <c r="L29" s="135" t="n"/>
      <c r="M29" s="99" t="n"/>
      <c r="N29" s="99" t="n"/>
    </row>
    <row r="30" ht="18" customHeight="1">
      <c r="A30" s="91" t="inlineStr">
        <is>
          <t>Mar-25</t>
        </is>
      </c>
      <c r="B30" s="133" t="inlineStr">
        <is>
          <t>Hemp Energy Bar (Box 12)</t>
        </is>
      </c>
      <c r="C30" s="110" t="n"/>
      <c r="D30" s="95" t="n"/>
      <c r="E30" s="92" t="n"/>
      <c r="F30" s="92" t="n"/>
      <c r="G30" s="92" t="n"/>
      <c r="H30" s="92" t="n"/>
      <c r="I30" s="92" t="n"/>
      <c r="J30" s="92" t="n"/>
      <c r="K30" s="93" t="n"/>
      <c r="L30" s="134" t="n"/>
      <c r="M30" s="95" t="n"/>
      <c r="N30" s="95" t="n"/>
    </row>
    <row r="31" ht="18" customHeight="1">
      <c r="A31" s="91" t="inlineStr">
        <is>
          <t>Mar-25</t>
        </is>
      </c>
      <c r="B31" s="133" t="inlineStr">
        <is>
          <t>Hemp Superfood Blend 300g</t>
        </is>
      </c>
      <c r="C31" s="115" t="n"/>
      <c r="D31" s="99" t="n"/>
      <c r="E31" s="96" t="n"/>
      <c r="F31" s="96" t="n"/>
      <c r="G31" s="96" t="n"/>
      <c r="H31" s="96" t="n"/>
      <c r="I31" s="96" t="n"/>
      <c r="J31" s="96" t="n"/>
      <c r="K31" s="97" t="n"/>
      <c r="L31" s="135" t="n"/>
      <c r="M31" s="99" t="n"/>
      <c r="N31" s="99" t="n"/>
    </row>
    <row r="32" ht="18" customHeight="1">
      <c r="A32" s="91" t="inlineStr">
        <is>
          <t>Mar-25</t>
        </is>
      </c>
      <c r="B32" s="133" t="inlineStr">
        <is>
          <t>Hemp Omega Capsules 60s</t>
        </is>
      </c>
      <c r="C32" s="110" t="n"/>
      <c r="D32" s="95" t="n"/>
      <c r="E32" s="92" t="n"/>
      <c r="F32" s="92" t="n"/>
      <c r="G32" s="92" t="n"/>
      <c r="H32" s="92" t="n"/>
      <c r="I32" s="92" t="n"/>
      <c r="J32" s="92" t="n"/>
      <c r="K32" s="93" t="n"/>
      <c r="L32" s="134" t="n"/>
      <c r="M32" s="95" t="n"/>
      <c r="N32" s="95" t="n"/>
    </row>
    <row r="33" ht="18" customHeight="1">
      <c r="A33" s="91" t="inlineStr">
        <is>
          <t>Mar-25</t>
        </is>
      </c>
      <c r="B33" s="133" t="inlineStr">
        <is>
          <t>Hemp Infused Honey 250g</t>
        </is>
      </c>
      <c r="C33" s="115" t="n"/>
      <c r="D33" s="99" t="n"/>
      <c r="E33" s="96" t="n"/>
      <c r="F33" s="96" t="n"/>
      <c r="G33" s="96" t="n"/>
      <c r="H33" s="96" t="n"/>
      <c r="I33" s="96" t="n"/>
      <c r="J33" s="96" t="n"/>
      <c r="K33" s="97" t="n"/>
      <c r="L33" s="135" t="n"/>
      <c r="M33" s="99" t="n"/>
      <c r="N33" s="99" t="n"/>
    </row>
    <row r="34" ht="18" customHeight="1">
      <c r="A34" s="91" t="inlineStr">
        <is>
          <t>Mar-25</t>
        </is>
      </c>
      <c r="B34" s="133" t="inlineStr">
        <is>
          <t>Hemp Seed Butter 400g</t>
        </is>
      </c>
      <c r="C34" s="110" t="n"/>
      <c r="D34" s="95" t="n"/>
      <c r="E34" s="92" t="n"/>
      <c r="F34" s="92" t="n"/>
      <c r="G34" s="92" t="n"/>
      <c r="H34" s="92" t="n"/>
      <c r="I34" s="92" t="n"/>
      <c r="J34" s="92" t="n"/>
      <c r="K34" s="93" t="n"/>
      <c r="L34" s="134" t="n"/>
      <c r="M34" s="95" t="n"/>
      <c r="N34" s="95" t="n"/>
    </row>
    <row r="35" ht="18" customHeight="1">
      <c r="A35" s="91" t="inlineStr">
        <is>
          <t>Mar-25</t>
        </is>
      </c>
      <c r="B35" s="133" t="inlineStr">
        <is>
          <t>Hemp Flour 1kg</t>
        </is>
      </c>
      <c r="C35" s="115" t="n"/>
      <c r="D35" s="99" t="n"/>
      <c r="E35" s="96" t="n"/>
      <c r="F35" s="96" t="n"/>
      <c r="G35" s="96" t="n"/>
      <c r="H35" s="96" t="n"/>
      <c r="I35" s="96" t="n"/>
      <c r="J35" s="96" t="n"/>
      <c r="K35" s="97" t="n"/>
      <c r="L35" s="135" t="n"/>
      <c r="M35" s="99" t="n"/>
      <c r="N35" s="99" t="n"/>
    </row>
    <row r="36" ht="18" customHeight="1">
      <c r="A36" s="91" t="inlineStr">
        <is>
          <t>Apr-25</t>
        </is>
      </c>
      <c r="B36" s="133" t="inlineStr">
        <is>
          <t>Hemp Seed Oil 500ml</t>
        </is>
      </c>
      <c r="C36" s="110" t="n"/>
      <c r="D36" s="95" t="n"/>
      <c r="E36" s="92" t="n"/>
      <c r="F36" s="92" t="n"/>
      <c r="G36" s="92" t="n"/>
      <c r="H36" s="92" t="n"/>
      <c r="I36" s="92" t="n"/>
      <c r="J36" s="92" t="n"/>
      <c r="K36" s="93" t="n"/>
      <c r="L36" s="134" t="n"/>
      <c r="M36" s="95" t="n"/>
      <c r="N36" s="95" t="n"/>
    </row>
    <row r="37" ht="18" customHeight="1">
      <c r="A37" s="91" t="inlineStr">
        <is>
          <t>Apr-25</t>
        </is>
      </c>
      <c r="B37" s="133" t="inlineStr">
        <is>
          <t>Hemp Protein Powder 1kg</t>
        </is>
      </c>
      <c r="C37" s="115" t="n"/>
      <c r="D37" s="99" t="n"/>
      <c r="E37" s="96" t="n"/>
      <c r="F37" s="96" t="n"/>
      <c r="G37" s="96" t="n"/>
      <c r="H37" s="96" t="n"/>
      <c r="I37" s="96" t="n"/>
      <c r="J37" s="96" t="n"/>
      <c r="K37" s="97" t="n"/>
      <c r="L37" s="135" t="n"/>
      <c r="M37" s="99" t="n"/>
      <c r="N37" s="99" t="n"/>
    </row>
    <row r="38" ht="18" customHeight="1">
      <c r="A38" s="91" t="inlineStr">
        <is>
          <t>Apr-25</t>
        </is>
      </c>
      <c r="B38" s="133" t="inlineStr">
        <is>
          <t>Hemp Hearts 500g</t>
        </is>
      </c>
      <c r="C38" s="110" t="n"/>
      <c r="D38" s="95" t="n"/>
      <c r="E38" s="92" t="n"/>
      <c r="F38" s="92" t="n"/>
      <c r="G38" s="92" t="n"/>
      <c r="H38" s="92" t="n"/>
      <c r="I38" s="92" t="n"/>
      <c r="J38" s="92" t="n"/>
      <c r="K38" s="93" t="n"/>
      <c r="L38" s="134" t="n"/>
      <c r="M38" s="95" t="n"/>
      <c r="N38" s="95" t="n"/>
    </row>
    <row r="39" ht="18" customHeight="1">
      <c r="A39" s="91" t="inlineStr">
        <is>
          <t>Apr-25</t>
        </is>
      </c>
      <c r="B39" s="133" t="inlineStr">
        <is>
          <t>Hemp Granola 400g</t>
        </is>
      </c>
      <c r="C39" s="115" t="n"/>
      <c r="D39" s="99" t="n"/>
      <c r="E39" s="96" t="n"/>
      <c r="F39" s="96" t="n"/>
      <c r="G39" s="96" t="n"/>
      <c r="H39" s="96" t="n"/>
      <c r="I39" s="96" t="n"/>
      <c r="J39" s="96" t="n"/>
      <c r="K39" s="97" t="n"/>
      <c r="L39" s="135" t="n"/>
      <c r="M39" s="99" t="n"/>
      <c r="N39" s="99" t="n"/>
    </row>
    <row r="40" ht="18" customHeight="1">
      <c r="A40" s="91" t="inlineStr">
        <is>
          <t>Apr-25</t>
        </is>
      </c>
      <c r="B40" s="133" t="inlineStr">
        <is>
          <t>Hemp Energy Bar (Box 12)</t>
        </is>
      </c>
      <c r="C40" s="110" t="n"/>
      <c r="D40" s="95" t="n"/>
      <c r="E40" s="92" t="n"/>
      <c r="F40" s="92" t="n"/>
      <c r="G40" s="92" t="n"/>
      <c r="H40" s="92" t="n"/>
      <c r="I40" s="92" t="n"/>
      <c r="J40" s="92" t="n"/>
      <c r="K40" s="93" t="n"/>
      <c r="L40" s="134" t="n"/>
      <c r="M40" s="95" t="n"/>
      <c r="N40" s="95" t="n"/>
    </row>
    <row r="41" ht="18" customHeight="1">
      <c r="A41" s="91" t="inlineStr">
        <is>
          <t>Apr-25</t>
        </is>
      </c>
      <c r="B41" s="133" t="inlineStr">
        <is>
          <t>Hemp Superfood Blend 300g</t>
        </is>
      </c>
      <c r="C41" s="115" t="n"/>
      <c r="D41" s="99" t="n"/>
      <c r="E41" s="96" t="n"/>
      <c r="F41" s="96" t="n"/>
      <c r="G41" s="96" t="n"/>
      <c r="H41" s="96" t="n"/>
      <c r="I41" s="96" t="n"/>
      <c r="J41" s="96" t="n"/>
      <c r="K41" s="97" t="n"/>
      <c r="L41" s="135" t="n"/>
      <c r="M41" s="99" t="n"/>
      <c r="N41" s="99" t="n"/>
    </row>
    <row r="42" ht="18" customHeight="1">
      <c r="A42" s="91" t="inlineStr">
        <is>
          <t>Apr-25</t>
        </is>
      </c>
      <c r="B42" s="133" t="inlineStr">
        <is>
          <t>Hemp Omega Capsules 60s</t>
        </is>
      </c>
      <c r="C42" s="110" t="n"/>
      <c r="D42" s="95" t="n"/>
      <c r="E42" s="92" t="n"/>
      <c r="F42" s="92" t="n"/>
      <c r="G42" s="92" t="n"/>
      <c r="H42" s="92" t="n"/>
      <c r="I42" s="92" t="n"/>
      <c r="J42" s="92" t="n"/>
      <c r="K42" s="93" t="n"/>
      <c r="L42" s="134" t="n"/>
      <c r="M42" s="95" t="n"/>
      <c r="N42" s="95" t="n"/>
    </row>
    <row r="43" ht="18" customHeight="1">
      <c r="A43" s="91" t="inlineStr">
        <is>
          <t>Apr-25</t>
        </is>
      </c>
      <c r="B43" s="133" t="inlineStr">
        <is>
          <t>Hemp Infused Honey 250g</t>
        </is>
      </c>
      <c r="C43" s="115" t="n"/>
      <c r="D43" s="99" t="n"/>
      <c r="E43" s="96" t="n"/>
      <c r="F43" s="96" t="n"/>
      <c r="G43" s="96" t="n"/>
      <c r="H43" s="96" t="n"/>
      <c r="I43" s="96" t="n"/>
      <c r="J43" s="96" t="n"/>
      <c r="K43" s="97" t="n"/>
      <c r="L43" s="135" t="n"/>
      <c r="M43" s="99" t="n"/>
      <c r="N43" s="99" t="n"/>
    </row>
    <row r="44" ht="18" customHeight="1">
      <c r="A44" s="91" t="inlineStr">
        <is>
          <t>Apr-25</t>
        </is>
      </c>
      <c r="B44" s="133" t="inlineStr">
        <is>
          <t>Hemp Seed Butter 400g</t>
        </is>
      </c>
      <c r="C44" s="110" t="n"/>
      <c r="D44" s="95" t="n"/>
      <c r="E44" s="92" t="n"/>
      <c r="F44" s="92" t="n"/>
      <c r="G44" s="92" t="n"/>
      <c r="H44" s="92" t="n"/>
      <c r="I44" s="92" t="n"/>
      <c r="J44" s="92" t="n"/>
      <c r="K44" s="93" t="n"/>
      <c r="L44" s="134" t="n"/>
      <c r="M44" s="95" t="n"/>
      <c r="N44" s="95" t="n"/>
    </row>
    <row r="45" ht="18" customHeight="1">
      <c r="A45" s="91" t="inlineStr">
        <is>
          <t>Apr-25</t>
        </is>
      </c>
      <c r="B45" s="133" t="inlineStr">
        <is>
          <t>Hemp Flour 1kg</t>
        </is>
      </c>
      <c r="C45" s="115" t="n"/>
      <c r="D45" s="99" t="n"/>
      <c r="E45" s="96" t="n"/>
      <c r="F45" s="96" t="n"/>
      <c r="G45" s="96" t="n"/>
      <c r="H45" s="96" t="n"/>
      <c r="I45" s="96" t="n"/>
      <c r="J45" s="96" t="n"/>
      <c r="K45" s="97" t="n"/>
      <c r="L45" s="135" t="n"/>
      <c r="M45" s="99" t="n"/>
      <c r="N45" s="99" t="n"/>
    </row>
    <row r="46" ht="18" customHeight="1">
      <c r="A46" s="91" t="inlineStr">
        <is>
          <t>May-25</t>
        </is>
      </c>
      <c r="B46" s="133" t="inlineStr">
        <is>
          <t>Hemp Seed Oil 500ml</t>
        </is>
      </c>
      <c r="C46" s="110" t="n"/>
      <c r="D46" s="95" t="n"/>
      <c r="E46" s="92" t="n"/>
      <c r="F46" s="92" t="n"/>
      <c r="G46" s="92" t="n"/>
      <c r="H46" s="92" t="n"/>
      <c r="I46" s="92" t="n"/>
      <c r="J46" s="92" t="n"/>
      <c r="K46" s="93" t="n"/>
      <c r="L46" s="134" t="n"/>
      <c r="M46" s="95" t="n"/>
      <c r="N46" s="95" t="n"/>
    </row>
    <row r="47" ht="18" customHeight="1">
      <c r="A47" s="91" t="inlineStr">
        <is>
          <t>May-25</t>
        </is>
      </c>
      <c r="B47" s="133" t="inlineStr">
        <is>
          <t>Hemp Protein Powder 1kg</t>
        </is>
      </c>
      <c r="C47" s="115" t="n"/>
      <c r="D47" s="99" t="n"/>
      <c r="E47" s="96" t="n"/>
      <c r="F47" s="96" t="n"/>
      <c r="G47" s="96" t="n"/>
      <c r="H47" s="96" t="n"/>
      <c r="I47" s="96" t="n"/>
      <c r="J47" s="96" t="n"/>
      <c r="K47" s="97" t="n"/>
      <c r="L47" s="135" t="n"/>
      <c r="M47" s="99" t="n"/>
      <c r="N47" s="99" t="n"/>
    </row>
    <row r="48" ht="18" customHeight="1">
      <c r="A48" s="91" t="inlineStr">
        <is>
          <t>May-25</t>
        </is>
      </c>
      <c r="B48" s="133" t="inlineStr">
        <is>
          <t>Hemp Hearts 500g</t>
        </is>
      </c>
      <c r="C48" s="110" t="n"/>
      <c r="D48" s="95" t="n"/>
      <c r="E48" s="92" t="n"/>
      <c r="F48" s="92" t="n"/>
      <c r="G48" s="92" t="n"/>
      <c r="H48" s="92" t="n"/>
      <c r="I48" s="92" t="n"/>
      <c r="J48" s="92" t="n"/>
      <c r="K48" s="93" t="n"/>
      <c r="L48" s="134" t="n"/>
      <c r="M48" s="95" t="n"/>
      <c r="N48" s="95" t="n"/>
    </row>
    <row r="49" ht="18" customHeight="1">
      <c r="A49" s="91" t="inlineStr">
        <is>
          <t>May-25</t>
        </is>
      </c>
      <c r="B49" s="133" t="inlineStr">
        <is>
          <t>Hemp Granola 400g</t>
        </is>
      </c>
      <c r="C49" s="115" t="n"/>
      <c r="D49" s="99" t="n"/>
      <c r="E49" s="96" t="n"/>
      <c r="F49" s="96" t="n"/>
      <c r="G49" s="96" t="n"/>
      <c r="H49" s="96" t="n"/>
      <c r="I49" s="96" t="n"/>
      <c r="J49" s="96" t="n"/>
      <c r="K49" s="97" t="n"/>
      <c r="L49" s="135" t="n"/>
      <c r="M49" s="99" t="n"/>
      <c r="N49" s="99" t="n"/>
    </row>
    <row r="50" ht="18" customHeight="1">
      <c r="A50" s="91" t="inlineStr">
        <is>
          <t>May-25</t>
        </is>
      </c>
      <c r="B50" s="133" t="inlineStr">
        <is>
          <t>Hemp Energy Bar (Box 12)</t>
        </is>
      </c>
      <c r="C50" s="110" t="n"/>
      <c r="D50" s="95" t="n"/>
      <c r="E50" s="92" t="n"/>
      <c r="F50" s="92" t="n"/>
      <c r="G50" s="92" t="n"/>
      <c r="H50" s="92" t="n"/>
      <c r="I50" s="92" t="n"/>
      <c r="J50" s="92" t="n"/>
      <c r="K50" s="93" t="n"/>
      <c r="L50" s="134" t="n"/>
      <c r="M50" s="95" t="n"/>
      <c r="N50" s="95" t="n"/>
    </row>
    <row r="51" ht="18" customHeight="1">
      <c r="A51" s="91" t="inlineStr">
        <is>
          <t>May-25</t>
        </is>
      </c>
      <c r="B51" s="133" t="inlineStr">
        <is>
          <t>Hemp Superfood Blend 300g</t>
        </is>
      </c>
      <c r="C51" s="115" t="n"/>
      <c r="D51" s="99" t="n"/>
      <c r="E51" s="96" t="n"/>
      <c r="F51" s="96" t="n"/>
      <c r="G51" s="96" t="n"/>
      <c r="H51" s="96" t="n"/>
      <c r="I51" s="96" t="n"/>
      <c r="J51" s="96" t="n"/>
      <c r="K51" s="97" t="n"/>
      <c r="L51" s="135" t="n"/>
      <c r="M51" s="99" t="n"/>
      <c r="N51" s="99" t="n"/>
    </row>
    <row r="52" ht="18" customHeight="1">
      <c r="A52" s="91" t="inlineStr">
        <is>
          <t>May-25</t>
        </is>
      </c>
      <c r="B52" s="133" t="inlineStr">
        <is>
          <t>Hemp Omega Capsules 60s</t>
        </is>
      </c>
      <c r="C52" s="110" t="n"/>
      <c r="D52" s="95" t="n"/>
      <c r="E52" s="92" t="n"/>
      <c r="F52" s="92" t="n"/>
      <c r="G52" s="92" t="n"/>
      <c r="H52" s="92" t="n"/>
      <c r="I52" s="92" t="n"/>
      <c r="J52" s="92" t="n"/>
      <c r="K52" s="93" t="n"/>
      <c r="L52" s="134" t="n"/>
      <c r="M52" s="95" t="n"/>
      <c r="N52" s="95" t="n"/>
    </row>
    <row r="53" ht="18" customHeight="1">
      <c r="A53" s="91" t="inlineStr">
        <is>
          <t>May-25</t>
        </is>
      </c>
      <c r="B53" s="133" t="inlineStr">
        <is>
          <t>Hemp Infused Honey 250g</t>
        </is>
      </c>
      <c r="C53" s="115" t="n"/>
      <c r="D53" s="99" t="n"/>
      <c r="E53" s="96" t="n"/>
      <c r="F53" s="96" t="n"/>
      <c r="G53" s="96" t="n"/>
      <c r="H53" s="96" t="n"/>
      <c r="I53" s="96" t="n"/>
      <c r="J53" s="96" t="n"/>
      <c r="K53" s="97" t="n"/>
      <c r="L53" s="135" t="n"/>
      <c r="M53" s="99" t="n"/>
      <c r="N53" s="99" t="n"/>
    </row>
    <row r="54" ht="18" customHeight="1">
      <c r="A54" s="91" t="inlineStr">
        <is>
          <t>May-25</t>
        </is>
      </c>
      <c r="B54" s="133" t="inlineStr">
        <is>
          <t>Hemp Seed Butter 400g</t>
        </is>
      </c>
      <c r="C54" s="110" t="n"/>
      <c r="D54" s="95" t="n"/>
      <c r="E54" s="92" t="n"/>
      <c r="F54" s="92" t="n"/>
      <c r="G54" s="92" t="n"/>
      <c r="H54" s="92" t="n"/>
      <c r="I54" s="92" t="n"/>
      <c r="J54" s="92" t="n"/>
      <c r="K54" s="93" t="n"/>
      <c r="L54" s="134" t="n"/>
      <c r="M54" s="95" t="n"/>
      <c r="N54" s="95" t="n"/>
    </row>
    <row r="55" ht="18" customHeight="1">
      <c r="A55" s="91" t="inlineStr">
        <is>
          <t>May-25</t>
        </is>
      </c>
      <c r="B55" s="133" t="inlineStr">
        <is>
          <t>Hemp Flour 1kg</t>
        </is>
      </c>
      <c r="C55" s="115" t="n"/>
      <c r="D55" s="99" t="n"/>
      <c r="E55" s="96" t="n"/>
      <c r="F55" s="96" t="n"/>
      <c r="G55" s="96" t="n"/>
      <c r="H55" s="96" t="n"/>
      <c r="I55" s="96" t="n"/>
      <c r="J55" s="96" t="n"/>
      <c r="K55" s="97" t="n"/>
      <c r="L55" s="135" t="n"/>
      <c r="M55" s="99" t="n"/>
      <c r="N55" s="99" t="n"/>
    </row>
    <row r="56" ht="18" customHeight="1">
      <c r="A56" s="91" t="inlineStr">
        <is>
          <t>Jun-25</t>
        </is>
      </c>
      <c r="B56" s="133" t="inlineStr">
        <is>
          <t>Hemp Seed Oil 500ml</t>
        </is>
      </c>
      <c r="C56" s="110" t="n"/>
      <c r="D56" s="95" t="n"/>
      <c r="E56" s="92" t="n"/>
      <c r="F56" s="92" t="n"/>
      <c r="G56" s="92" t="n"/>
      <c r="H56" s="92" t="n"/>
      <c r="I56" s="92" t="n"/>
      <c r="J56" s="92" t="n"/>
      <c r="K56" s="93" t="n"/>
      <c r="L56" s="134" t="n"/>
      <c r="M56" s="95" t="n"/>
      <c r="N56" s="95" t="n"/>
    </row>
    <row r="57" ht="18" customHeight="1">
      <c r="A57" s="91" t="inlineStr">
        <is>
          <t>Jun-25</t>
        </is>
      </c>
      <c r="B57" s="133" t="inlineStr">
        <is>
          <t>Hemp Protein Powder 1kg</t>
        </is>
      </c>
      <c r="C57" s="115" t="n"/>
      <c r="D57" s="99" t="n"/>
      <c r="E57" s="96" t="n"/>
      <c r="F57" s="96" t="n"/>
      <c r="G57" s="96" t="n"/>
      <c r="H57" s="96" t="n"/>
      <c r="I57" s="96" t="n"/>
      <c r="J57" s="96" t="n"/>
      <c r="K57" s="97" t="n"/>
      <c r="L57" s="135" t="n"/>
      <c r="M57" s="99" t="n"/>
      <c r="N57" s="99" t="n"/>
    </row>
    <row r="58" ht="18" customHeight="1">
      <c r="A58" s="91" t="inlineStr">
        <is>
          <t>Jun-25</t>
        </is>
      </c>
      <c r="B58" s="133" t="inlineStr">
        <is>
          <t>Hemp Hearts 500g</t>
        </is>
      </c>
      <c r="C58" s="110" t="n"/>
      <c r="D58" s="95" t="n"/>
      <c r="E58" s="92" t="n"/>
      <c r="F58" s="92" t="n"/>
      <c r="G58" s="92" t="n"/>
      <c r="H58" s="92" t="n"/>
      <c r="I58" s="92" t="n"/>
      <c r="J58" s="92" t="n"/>
      <c r="K58" s="93" t="n"/>
      <c r="L58" s="134" t="n"/>
      <c r="M58" s="95" t="n"/>
      <c r="N58" s="95" t="n"/>
    </row>
    <row r="59" ht="18" customHeight="1">
      <c r="A59" s="91" t="inlineStr">
        <is>
          <t>Jun-25</t>
        </is>
      </c>
      <c r="B59" s="133" t="inlineStr">
        <is>
          <t>Hemp Granola 400g</t>
        </is>
      </c>
      <c r="C59" s="115" t="n"/>
      <c r="D59" s="99" t="n"/>
      <c r="E59" s="96" t="n"/>
      <c r="F59" s="96" t="n"/>
      <c r="G59" s="96" t="n"/>
      <c r="H59" s="96" t="n"/>
      <c r="I59" s="96" t="n"/>
      <c r="J59" s="96" t="n"/>
      <c r="K59" s="97" t="n"/>
      <c r="L59" s="135" t="n"/>
      <c r="M59" s="99" t="n"/>
      <c r="N59" s="99" t="n"/>
    </row>
    <row r="60" ht="18" customHeight="1">
      <c r="A60" s="91" t="inlineStr">
        <is>
          <t>Jun-25</t>
        </is>
      </c>
      <c r="B60" s="133" t="inlineStr">
        <is>
          <t>Hemp Energy Bar (Box 12)</t>
        </is>
      </c>
      <c r="C60" s="110" t="n"/>
      <c r="D60" s="95" t="n"/>
      <c r="E60" s="92" t="n"/>
      <c r="F60" s="92" t="n"/>
      <c r="G60" s="92" t="n"/>
      <c r="H60" s="92" t="n"/>
      <c r="I60" s="92" t="n"/>
      <c r="J60" s="92" t="n"/>
      <c r="K60" s="93" t="n"/>
      <c r="L60" s="134" t="n"/>
      <c r="M60" s="95" t="n"/>
      <c r="N60" s="95" t="n"/>
    </row>
    <row r="61" ht="18" customHeight="1">
      <c r="A61" s="91" t="inlineStr">
        <is>
          <t>Jun-25</t>
        </is>
      </c>
      <c r="B61" s="133" t="inlineStr">
        <is>
          <t>Hemp Superfood Blend 300g</t>
        </is>
      </c>
      <c r="C61" s="115" t="n"/>
      <c r="D61" s="99" t="n"/>
      <c r="E61" s="96" t="n"/>
      <c r="F61" s="96" t="n"/>
      <c r="G61" s="96" t="n"/>
      <c r="H61" s="96" t="n"/>
      <c r="I61" s="96" t="n"/>
      <c r="J61" s="96" t="n"/>
      <c r="K61" s="97" t="n"/>
      <c r="L61" s="135" t="n"/>
      <c r="M61" s="99" t="n"/>
      <c r="N61" s="99" t="n"/>
    </row>
    <row r="62" ht="18" customHeight="1">
      <c r="A62" s="91" t="inlineStr">
        <is>
          <t>Jun-25</t>
        </is>
      </c>
      <c r="B62" s="133" t="inlineStr">
        <is>
          <t>Hemp Omega Capsules 60s</t>
        </is>
      </c>
      <c r="C62" s="110" t="n"/>
      <c r="D62" s="95" t="n"/>
      <c r="E62" s="92" t="n"/>
      <c r="F62" s="92" t="n"/>
      <c r="G62" s="92" t="n"/>
      <c r="H62" s="92" t="n"/>
      <c r="I62" s="92" t="n"/>
      <c r="J62" s="92" t="n"/>
      <c r="K62" s="93" t="n"/>
      <c r="L62" s="134" t="n"/>
      <c r="M62" s="95" t="n"/>
      <c r="N62" s="95" t="n"/>
    </row>
    <row r="63" ht="18" customHeight="1">
      <c r="A63" s="91" t="inlineStr">
        <is>
          <t>Jun-25</t>
        </is>
      </c>
      <c r="B63" s="133" t="inlineStr">
        <is>
          <t>Hemp Infused Honey 250g</t>
        </is>
      </c>
      <c r="C63" s="115" t="n"/>
      <c r="D63" s="99" t="n"/>
      <c r="E63" s="96" t="n"/>
      <c r="F63" s="96" t="n"/>
      <c r="G63" s="96" t="n"/>
      <c r="H63" s="96" t="n"/>
      <c r="I63" s="96" t="n"/>
      <c r="J63" s="96" t="n"/>
      <c r="K63" s="97" t="n"/>
      <c r="L63" s="135" t="n"/>
      <c r="M63" s="99" t="n"/>
      <c r="N63" s="99" t="n"/>
    </row>
    <row r="64" ht="18" customHeight="1">
      <c r="A64" s="91" t="inlineStr">
        <is>
          <t>Jun-25</t>
        </is>
      </c>
      <c r="B64" s="133" t="inlineStr">
        <is>
          <t>Hemp Seed Butter 400g</t>
        </is>
      </c>
      <c r="C64" s="110" t="n"/>
      <c r="D64" s="95" t="n"/>
      <c r="E64" s="92" t="n"/>
      <c r="F64" s="92" t="n"/>
      <c r="G64" s="92" t="n"/>
      <c r="H64" s="92" t="n"/>
      <c r="I64" s="92" t="n"/>
      <c r="J64" s="92" t="n"/>
      <c r="K64" s="93" t="n"/>
      <c r="L64" s="134" t="n"/>
      <c r="M64" s="95" t="n"/>
      <c r="N64" s="95" t="n"/>
    </row>
    <row r="65" ht="18" customHeight="1">
      <c r="A65" s="91" t="inlineStr">
        <is>
          <t>Jun-25</t>
        </is>
      </c>
      <c r="B65" s="133" t="inlineStr">
        <is>
          <t>Hemp Flour 1kg</t>
        </is>
      </c>
      <c r="C65" s="115" t="n"/>
      <c r="D65" s="99" t="n"/>
      <c r="E65" s="96" t="n"/>
      <c r="F65" s="96" t="n"/>
      <c r="G65" s="96" t="n"/>
      <c r="H65" s="96" t="n"/>
      <c r="I65" s="96" t="n"/>
      <c r="J65" s="96" t="n"/>
      <c r="K65" s="97" t="n"/>
      <c r="L65" s="135" t="n"/>
      <c r="M65" s="99" t="n"/>
      <c r="N65" s="99" t="n"/>
    </row>
    <row r="66" ht="18" customHeight="1">
      <c r="A66" s="91" t="inlineStr">
        <is>
          <t>Jul-25</t>
        </is>
      </c>
      <c r="B66" s="133" t="inlineStr">
        <is>
          <t>Hemp Seed Oil 500ml</t>
        </is>
      </c>
      <c r="C66" s="110" t="n"/>
      <c r="D66" s="95" t="n"/>
      <c r="E66" s="92" t="n"/>
      <c r="F66" s="92" t="n"/>
      <c r="G66" s="92" t="n"/>
      <c r="H66" s="92" t="n"/>
      <c r="I66" s="92" t="n"/>
      <c r="J66" s="92" t="n"/>
      <c r="K66" s="93" t="n"/>
      <c r="L66" s="134" t="n"/>
      <c r="M66" s="95" t="n"/>
      <c r="N66" s="95" t="n"/>
    </row>
    <row r="67" ht="18" customHeight="1">
      <c r="A67" s="91" t="inlineStr">
        <is>
          <t>Jul-25</t>
        </is>
      </c>
      <c r="B67" s="133" t="inlineStr">
        <is>
          <t>Hemp Protein Powder 1kg</t>
        </is>
      </c>
      <c r="C67" s="115" t="n"/>
      <c r="D67" s="99" t="n"/>
      <c r="E67" s="96" t="n"/>
      <c r="F67" s="96" t="n"/>
      <c r="G67" s="96" t="n"/>
      <c r="H67" s="96" t="n"/>
      <c r="I67" s="96" t="n"/>
      <c r="J67" s="96" t="n"/>
      <c r="K67" s="97" t="n"/>
      <c r="L67" s="135" t="n"/>
      <c r="M67" s="99" t="n"/>
      <c r="N67" s="99" t="n"/>
    </row>
    <row r="68" ht="18" customHeight="1">
      <c r="A68" s="91" t="inlineStr">
        <is>
          <t>Jul-25</t>
        </is>
      </c>
      <c r="B68" s="133" t="inlineStr">
        <is>
          <t>Hemp Hearts 500g</t>
        </is>
      </c>
      <c r="C68" s="110" t="n"/>
      <c r="D68" s="95" t="n"/>
      <c r="E68" s="92" t="n"/>
      <c r="F68" s="92" t="n"/>
      <c r="G68" s="92" t="n"/>
      <c r="H68" s="92" t="n"/>
      <c r="I68" s="92" t="n"/>
      <c r="J68" s="92" t="n"/>
      <c r="K68" s="93" t="n"/>
      <c r="L68" s="134" t="n"/>
      <c r="M68" s="95" t="n"/>
      <c r="N68" s="95" t="n"/>
    </row>
    <row r="69" ht="18" customHeight="1">
      <c r="A69" s="91" t="inlineStr">
        <is>
          <t>Jul-25</t>
        </is>
      </c>
      <c r="B69" s="133" t="inlineStr">
        <is>
          <t>Hemp Granola 400g</t>
        </is>
      </c>
      <c r="C69" s="115" t="n"/>
      <c r="D69" s="99" t="n"/>
      <c r="E69" s="96" t="n"/>
      <c r="F69" s="96" t="n"/>
      <c r="G69" s="96" t="n"/>
      <c r="H69" s="96" t="n"/>
      <c r="I69" s="96" t="n"/>
      <c r="J69" s="96" t="n"/>
      <c r="K69" s="97" t="n"/>
      <c r="L69" s="135" t="n"/>
      <c r="M69" s="99" t="n"/>
      <c r="N69" s="99" t="n"/>
    </row>
    <row r="70" ht="18" customHeight="1">
      <c r="A70" s="91" t="inlineStr">
        <is>
          <t>Jul-25</t>
        </is>
      </c>
      <c r="B70" s="133" t="inlineStr">
        <is>
          <t>Hemp Energy Bar (Box 12)</t>
        </is>
      </c>
      <c r="C70" s="110" t="n"/>
      <c r="D70" s="95" t="n"/>
      <c r="E70" s="92" t="n"/>
      <c r="F70" s="92" t="n"/>
      <c r="G70" s="92" t="n"/>
      <c r="H70" s="92" t="n"/>
      <c r="I70" s="92" t="n"/>
      <c r="J70" s="92" t="n"/>
      <c r="K70" s="93" t="n"/>
      <c r="L70" s="134" t="n"/>
      <c r="M70" s="95" t="n"/>
      <c r="N70" s="95" t="n"/>
    </row>
    <row r="71" ht="18" customHeight="1">
      <c r="A71" s="91" t="inlineStr">
        <is>
          <t>Jul-25</t>
        </is>
      </c>
      <c r="B71" s="133" t="inlineStr">
        <is>
          <t>Hemp Superfood Blend 300g</t>
        </is>
      </c>
      <c r="C71" s="115" t="n"/>
      <c r="D71" s="99" t="n"/>
      <c r="E71" s="96" t="n"/>
      <c r="F71" s="96" t="n"/>
      <c r="G71" s="96" t="n"/>
      <c r="H71" s="96" t="n"/>
      <c r="I71" s="96" t="n"/>
      <c r="J71" s="96" t="n"/>
      <c r="K71" s="97" t="n"/>
      <c r="L71" s="135" t="n"/>
      <c r="M71" s="99" t="n"/>
      <c r="N71" s="99" t="n"/>
    </row>
    <row r="72" ht="18" customHeight="1">
      <c r="A72" s="91" t="inlineStr">
        <is>
          <t>Jul-25</t>
        </is>
      </c>
      <c r="B72" s="133" t="inlineStr">
        <is>
          <t>Hemp Omega Capsules 60s</t>
        </is>
      </c>
      <c r="C72" s="110" t="n"/>
      <c r="D72" s="95" t="n"/>
      <c r="E72" s="92" t="n"/>
      <c r="F72" s="92" t="n"/>
      <c r="G72" s="92" t="n"/>
      <c r="H72" s="92" t="n"/>
      <c r="I72" s="92" t="n"/>
      <c r="J72" s="92" t="n"/>
      <c r="K72" s="93" t="n"/>
      <c r="L72" s="134" t="n"/>
      <c r="M72" s="95" t="n"/>
      <c r="N72" s="95" t="n"/>
    </row>
    <row r="73" ht="18" customHeight="1">
      <c r="A73" s="91" t="inlineStr">
        <is>
          <t>Jul-25</t>
        </is>
      </c>
      <c r="B73" s="133" t="inlineStr">
        <is>
          <t>Hemp Infused Honey 250g</t>
        </is>
      </c>
      <c r="C73" s="115" t="n"/>
      <c r="D73" s="99" t="n"/>
      <c r="E73" s="96" t="n"/>
      <c r="F73" s="96" t="n"/>
      <c r="G73" s="96" t="n"/>
      <c r="H73" s="96" t="n"/>
      <c r="I73" s="96" t="n"/>
      <c r="J73" s="96" t="n"/>
      <c r="K73" s="97" t="n"/>
      <c r="L73" s="135" t="n"/>
      <c r="M73" s="99" t="n"/>
      <c r="N73" s="99" t="n"/>
    </row>
    <row r="74" ht="18" customHeight="1">
      <c r="A74" s="91" t="inlineStr">
        <is>
          <t>Jul-25</t>
        </is>
      </c>
      <c r="B74" s="133" t="inlineStr">
        <is>
          <t>Hemp Seed Butter 400g</t>
        </is>
      </c>
      <c r="C74" s="110" t="n"/>
      <c r="D74" s="95" t="n"/>
      <c r="E74" s="92" t="n"/>
      <c r="F74" s="92" t="n"/>
      <c r="G74" s="92" t="n"/>
      <c r="H74" s="92" t="n"/>
      <c r="I74" s="92" t="n"/>
      <c r="J74" s="92" t="n"/>
      <c r="K74" s="93" t="n"/>
      <c r="L74" s="134" t="n"/>
      <c r="M74" s="95" t="n"/>
      <c r="N74" s="95" t="n"/>
    </row>
    <row r="75" ht="18" customHeight="1">
      <c r="A75" s="91" t="inlineStr">
        <is>
          <t>Jul-25</t>
        </is>
      </c>
      <c r="B75" s="133" t="inlineStr">
        <is>
          <t>Hemp Flour 1kg</t>
        </is>
      </c>
      <c r="C75" s="115" t="n"/>
      <c r="D75" s="99" t="n"/>
      <c r="E75" s="96" t="n"/>
      <c r="F75" s="96" t="n"/>
      <c r="G75" s="96" t="n"/>
      <c r="H75" s="96" t="n"/>
      <c r="I75" s="96" t="n"/>
      <c r="J75" s="96" t="n"/>
      <c r="K75" s="97" t="n"/>
      <c r="L75" s="135" t="n"/>
      <c r="M75" s="99" t="n"/>
      <c r="N75" s="99" t="n"/>
    </row>
    <row r="76" ht="18" customHeight="1">
      <c r="A76" s="91" t="inlineStr">
        <is>
          <t>Aug-25</t>
        </is>
      </c>
      <c r="B76" s="133" t="inlineStr">
        <is>
          <t>Hemp Seed Oil 500ml</t>
        </is>
      </c>
      <c r="C76" s="110" t="n"/>
      <c r="D76" s="95" t="n"/>
      <c r="E76" s="92" t="n"/>
      <c r="F76" s="92" t="n"/>
      <c r="G76" s="92" t="n"/>
      <c r="H76" s="92" t="n"/>
      <c r="I76" s="92" t="n"/>
      <c r="J76" s="92" t="n"/>
      <c r="K76" s="93" t="n"/>
      <c r="L76" s="134" t="n"/>
      <c r="M76" s="95" t="n"/>
      <c r="N76" s="95" t="n"/>
    </row>
    <row r="77" ht="18" customHeight="1">
      <c r="A77" s="91" t="inlineStr">
        <is>
          <t>Aug-25</t>
        </is>
      </c>
      <c r="B77" s="133" t="inlineStr">
        <is>
          <t>Hemp Protein Powder 1kg</t>
        </is>
      </c>
      <c r="C77" s="115" t="n"/>
      <c r="D77" s="99" t="n"/>
      <c r="E77" s="96" t="n"/>
      <c r="F77" s="96" t="n"/>
      <c r="G77" s="96" t="n"/>
      <c r="H77" s="96" t="n"/>
      <c r="I77" s="96" t="n"/>
      <c r="J77" s="96" t="n"/>
      <c r="K77" s="97" t="n"/>
      <c r="L77" s="135" t="n"/>
      <c r="M77" s="99" t="n"/>
      <c r="N77" s="99" t="n"/>
    </row>
    <row r="78" ht="18" customHeight="1">
      <c r="A78" s="91" t="inlineStr">
        <is>
          <t>Aug-25</t>
        </is>
      </c>
      <c r="B78" s="133" t="inlineStr">
        <is>
          <t>Hemp Hearts 500g</t>
        </is>
      </c>
      <c r="C78" s="110" t="n"/>
      <c r="D78" s="95" t="n"/>
      <c r="E78" s="92" t="n"/>
      <c r="F78" s="92" t="n"/>
      <c r="G78" s="92" t="n"/>
      <c r="H78" s="92" t="n"/>
      <c r="I78" s="92" t="n"/>
      <c r="J78" s="92" t="n"/>
      <c r="K78" s="93" t="n"/>
      <c r="L78" s="134" t="n"/>
      <c r="M78" s="95" t="n"/>
      <c r="N78" s="95" t="n"/>
    </row>
    <row r="79" ht="18" customHeight="1">
      <c r="A79" s="91" t="inlineStr">
        <is>
          <t>Aug-25</t>
        </is>
      </c>
      <c r="B79" s="133" t="inlineStr">
        <is>
          <t>Hemp Granola 400g</t>
        </is>
      </c>
      <c r="C79" s="115" t="n"/>
      <c r="D79" s="99" t="n"/>
      <c r="E79" s="96" t="n"/>
      <c r="F79" s="96" t="n"/>
      <c r="G79" s="96" t="n"/>
      <c r="H79" s="96" t="n"/>
      <c r="I79" s="96" t="n"/>
      <c r="J79" s="96" t="n"/>
      <c r="K79" s="97" t="n"/>
      <c r="L79" s="135" t="n"/>
      <c r="M79" s="99" t="n"/>
      <c r="N79" s="99" t="n"/>
    </row>
    <row r="80" ht="18" customHeight="1">
      <c r="A80" s="91" t="inlineStr">
        <is>
          <t>Aug-25</t>
        </is>
      </c>
      <c r="B80" s="133" t="inlineStr">
        <is>
          <t>Hemp Energy Bar (Box 12)</t>
        </is>
      </c>
      <c r="C80" s="110" t="n"/>
      <c r="D80" s="95" t="n"/>
      <c r="E80" s="92" t="n"/>
      <c r="F80" s="92" t="n"/>
      <c r="G80" s="92" t="n"/>
      <c r="H80" s="92" t="n"/>
      <c r="I80" s="92" t="n"/>
      <c r="J80" s="92" t="n"/>
      <c r="K80" s="93" t="n"/>
      <c r="L80" s="134" t="n"/>
      <c r="M80" s="95" t="n"/>
      <c r="N80" s="95" t="n"/>
    </row>
    <row r="81" ht="18" customHeight="1">
      <c r="A81" s="91" t="inlineStr">
        <is>
          <t>Aug-25</t>
        </is>
      </c>
      <c r="B81" s="133" t="inlineStr">
        <is>
          <t>Hemp Superfood Blend 300g</t>
        </is>
      </c>
      <c r="C81" s="115" t="n"/>
      <c r="D81" s="99" t="n"/>
      <c r="E81" s="96" t="n"/>
      <c r="F81" s="96" t="n"/>
      <c r="G81" s="96" t="n"/>
      <c r="H81" s="96" t="n"/>
      <c r="I81" s="96" t="n"/>
      <c r="J81" s="96" t="n"/>
      <c r="K81" s="97" t="n"/>
      <c r="L81" s="135" t="n"/>
      <c r="M81" s="99" t="n"/>
      <c r="N81" s="99" t="n"/>
    </row>
    <row r="82" ht="18" customHeight="1">
      <c r="A82" s="91" t="inlineStr">
        <is>
          <t>Aug-25</t>
        </is>
      </c>
      <c r="B82" s="133" t="inlineStr">
        <is>
          <t>Hemp Omega Capsules 60s</t>
        </is>
      </c>
      <c r="C82" s="110" t="n"/>
      <c r="D82" s="95" t="n"/>
      <c r="E82" s="92" t="n"/>
      <c r="F82" s="92" t="n"/>
      <c r="G82" s="92" t="n"/>
      <c r="H82" s="92" t="n"/>
      <c r="I82" s="92" t="n"/>
      <c r="J82" s="92" t="n"/>
      <c r="K82" s="93" t="n"/>
      <c r="L82" s="134" t="n"/>
      <c r="M82" s="95" t="n"/>
      <c r="N82" s="95" t="n"/>
    </row>
    <row r="83" ht="18" customHeight="1">
      <c r="A83" s="91" t="inlineStr">
        <is>
          <t>Aug-25</t>
        </is>
      </c>
      <c r="B83" s="133" t="inlineStr">
        <is>
          <t>Hemp Infused Honey 250g</t>
        </is>
      </c>
      <c r="C83" s="115" t="n"/>
      <c r="D83" s="99" t="n"/>
      <c r="E83" s="96" t="n"/>
      <c r="F83" s="96" t="n"/>
      <c r="G83" s="96" t="n"/>
      <c r="H83" s="96" t="n"/>
      <c r="I83" s="96" t="n"/>
      <c r="J83" s="96" t="n"/>
      <c r="K83" s="97" t="n"/>
      <c r="L83" s="135" t="n"/>
      <c r="M83" s="99" t="n"/>
      <c r="N83" s="99" t="n"/>
    </row>
    <row r="84" ht="18" customHeight="1">
      <c r="A84" s="91" t="inlineStr">
        <is>
          <t>Aug-25</t>
        </is>
      </c>
      <c r="B84" s="133" t="inlineStr">
        <is>
          <t>Hemp Seed Butter 400g</t>
        </is>
      </c>
      <c r="C84" s="110" t="n"/>
      <c r="D84" s="95" t="n"/>
      <c r="E84" s="92" t="n"/>
      <c r="F84" s="92" t="n"/>
      <c r="G84" s="92" t="n"/>
      <c r="H84" s="92" t="n"/>
      <c r="I84" s="92" t="n"/>
      <c r="J84" s="92" t="n"/>
      <c r="K84" s="93" t="n"/>
      <c r="L84" s="134" t="n"/>
      <c r="M84" s="95" t="n"/>
      <c r="N84" s="95" t="n"/>
    </row>
    <row r="85" ht="18" customHeight="1">
      <c r="A85" s="91" t="inlineStr">
        <is>
          <t>Aug-25</t>
        </is>
      </c>
      <c r="B85" s="133" t="inlineStr">
        <is>
          <t>Hemp Flour 1kg</t>
        </is>
      </c>
      <c r="C85" s="115" t="n"/>
      <c r="D85" s="99" t="n"/>
      <c r="E85" s="96" t="n"/>
      <c r="F85" s="96" t="n"/>
      <c r="G85" s="96" t="n"/>
      <c r="H85" s="96" t="n"/>
      <c r="I85" s="96" t="n"/>
      <c r="J85" s="96" t="n"/>
      <c r="K85" s="97" t="n"/>
      <c r="L85" s="135" t="n"/>
      <c r="M85" s="99" t="n"/>
      <c r="N85" s="99" t="n"/>
    </row>
    <row r="86" ht="18" customHeight="1">
      <c r="A86" s="91" t="inlineStr">
        <is>
          <t>Sep-25</t>
        </is>
      </c>
      <c r="B86" s="133" t="inlineStr">
        <is>
          <t>Hemp Seed Oil 500ml</t>
        </is>
      </c>
      <c r="C86" s="110" t="n"/>
      <c r="D86" s="95" t="n"/>
      <c r="E86" s="92" t="n"/>
      <c r="F86" s="92" t="n"/>
      <c r="G86" s="92" t="n"/>
      <c r="H86" s="92" t="n"/>
      <c r="I86" s="92" t="n"/>
      <c r="J86" s="92" t="n"/>
      <c r="K86" s="93" t="n"/>
      <c r="L86" s="134" t="n"/>
      <c r="M86" s="95" t="n"/>
      <c r="N86" s="95" t="n"/>
    </row>
    <row r="87" ht="18" customHeight="1">
      <c r="A87" s="91" t="inlineStr">
        <is>
          <t>Sep-25</t>
        </is>
      </c>
      <c r="B87" s="133" t="inlineStr">
        <is>
          <t>Hemp Protein Powder 1kg</t>
        </is>
      </c>
      <c r="C87" s="115" t="n"/>
      <c r="D87" s="99" t="n"/>
      <c r="E87" s="96" t="n"/>
      <c r="F87" s="96" t="n"/>
      <c r="G87" s="96" t="n"/>
      <c r="H87" s="96" t="n"/>
      <c r="I87" s="96" t="n"/>
      <c r="J87" s="96" t="n"/>
      <c r="K87" s="97" t="n"/>
      <c r="L87" s="135" t="n"/>
      <c r="M87" s="99" t="n"/>
      <c r="N87" s="99" t="n"/>
    </row>
    <row r="88" ht="18" customHeight="1">
      <c r="A88" s="91" t="inlineStr">
        <is>
          <t>Sep-25</t>
        </is>
      </c>
      <c r="B88" s="133" t="inlineStr">
        <is>
          <t>Hemp Hearts 500g</t>
        </is>
      </c>
      <c r="C88" s="110" t="n"/>
      <c r="D88" s="95" t="n"/>
      <c r="E88" s="92" t="n"/>
      <c r="F88" s="92" t="n"/>
      <c r="G88" s="92" t="n"/>
      <c r="H88" s="92" t="n"/>
      <c r="I88" s="92" t="n"/>
      <c r="J88" s="92" t="n"/>
      <c r="K88" s="93" t="n"/>
      <c r="L88" s="134" t="n"/>
      <c r="M88" s="95" t="n"/>
      <c r="N88" s="95" t="n"/>
    </row>
    <row r="89" ht="18" customHeight="1">
      <c r="A89" s="91" t="inlineStr">
        <is>
          <t>Sep-25</t>
        </is>
      </c>
      <c r="B89" s="133" t="inlineStr">
        <is>
          <t>Hemp Granola 400g</t>
        </is>
      </c>
      <c r="C89" s="115" t="n"/>
      <c r="D89" s="99" t="n"/>
      <c r="E89" s="96" t="n"/>
      <c r="F89" s="96" t="n"/>
      <c r="G89" s="96" t="n"/>
      <c r="H89" s="96" t="n"/>
      <c r="I89" s="96" t="n"/>
      <c r="J89" s="96" t="n"/>
      <c r="K89" s="97" t="n"/>
      <c r="L89" s="135" t="n"/>
      <c r="M89" s="99" t="n"/>
      <c r="N89" s="99" t="n"/>
    </row>
    <row r="90" ht="18" customHeight="1">
      <c r="A90" s="91" t="inlineStr">
        <is>
          <t>Sep-25</t>
        </is>
      </c>
      <c r="B90" s="133" t="inlineStr">
        <is>
          <t>Hemp Energy Bar (Box 12)</t>
        </is>
      </c>
      <c r="C90" s="110" t="n"/>
      <c r="D90" s="95" t="n"/>
      <c r="E90" s="92" t="n"/>
      <c r="F90" s="92" t="n"/>
      <c r="G90" s="92" t="n"/>
      <c r="H90" s="92" t="n"/>
      <c r="I90" s="92" t="n"/>
      <c r="J90" s="92" t="n"/>
      <c r="K90" s="93" t="n"/>
      <c r="L90" s="134" t="n"/>
      <c r="M90" s="95" t="n"/>
      <c r="N90" s="95" t="n"/>
    </row>
    <row r="91" ht="18" customHeight="1">
      <c r="A91" s="91" t="inlineStr">
        <is>
          <t>Sep-25</t>
        </is>
      </c>
      <c r="B91" s="133" t="inlineStr">
        <is>
          <t>Hemp Superfood Blend 300g</t>
        </is>
      </c>
      <c r="C91" s="115" t="n"/>
      <c r="D91" s="99" t="n"/>
      <c r="E91" s="96" t="n"/>
      <c r="F91" s="96" t="n"/>
      <c r="G91" s="96" t="n"/>
      <c r="H91" s="96" t="n"/>
      <c r="I91" s="96" t="n"/>
      <c r="J91" s="96" t="n"/>
      <c r="K91" s="97" t="n"/>
      <c r="L91" s="135" t="n"/>
      <c r="M91" s="99" t="n"/>
      <c r="N91" s="99" t="n"/>
    </row>
    <row r="92" ht="18" customHeight="1">
      <c r="A92" s="91" t="inlineStr">
        <is>
          <t>Sep-25</t>
        </is>
      </c>
      <c r="B92" s="133" t="inlineStr">
        <is>
          <t>Hemp Omega Capsules 60s</t>
        </is>
      </c>
      <c r="C92" s="110" t="n"/>
      <c r="D92" s="95" t="n"/>
      <c r="E92" s="92" t="n"/>
      <c r="F92" s="92" t="n"/>
      <c r="G92" s="92" t="n"/>
      <c r="H92" s="92" t="n"/>
      <c r="I92" s="92" t="n"/>
      <c r="J92" s="92" t="n"/>
      <c r="K92" s="93" t="n"/>
      <c r="L92" s="134" t="n"/>
      <c r="M92" s="95" t="n"/>
      <c r="N92" s="95" t="n"/>
    </row>
    <row r="93" ht="18" customHeight="1">
      <c r="A93" s="91" t="inlineStr">
        <is>
          <t>Sep-25</t>
        </is>
      </c>
      <c r="B93" s="133" t="inlineStr">
        <is>
          <t>Hemp Infused Honey 250g</t>
        </is>
      </c>
      <c r="C93" s="115" t="n"/>
      <c r="D93" s="99" t="n"/>
      <c r="E93" s="96" t="n"/>
      <c r="F93" s="96" t="n"/>
      <c r="G93" s="96" t="n"/>
      <c r="H93" s="96" t="n"/>
      <c r="I93" s="96" t="n"/>
      <c r="J93" s="96" t="n"/>
      <c r="K93" s="97" t="n"/>
      <c r="L93" s="135" t="n"/>
      <c r="M93" s="99" t="n"/>
      <c r="N93" s="99" t="n"/>
    </row>
    <row r="94" ht="18" customHeight="1">
      <c r="A94" s="91" t="inlineStr">
        <is>
          <t>Sep-25</t>
        </is>
      </c>
      <c r="B94" s="133" t="inlineStr">
        <is>
          <t>Hemp Seed Butter 400g</t>
        </is>
      </c>
      <c r="C94" s="110" t="n"/>
      <c r="D94" s="95" t="n"/>
      <c r="E94" s="92" t="n"/>
      <c r="F94" s="92" t="n"/>
      <c r="G94" s="92" t="n"/>
      <c r="H94" s="92" t="n"/>
      <c r="I94" s="92" t="n"/>
      <c r="J94" s="92" t="n"/>
      <c r="K94" s="93" t="n"/>
      <c r="L94" s="134" t="n"/>
      <c r="M94" s="95" t="n"/>
      <c r="N94" s="95" t="n"/>
    </row>
    <row r="95" ht="18" customHeight="1">
      <c r="A95" s="91" t="inlineStr">
        <is>
          <t>Sep-25</t>
        </is>
      </c>
      <c r="B95" s="133" t="inlineStr">
        <is>
          <t>Hemp Flour 1kg</t>
        </is>
      </c>
      <c r="C95" s="115" t="n"/>
      <c r="D95" s="99" t="n"/>
      <c r="E95" s="96" t="n"/>
      <c r="F95" s="96" t="n"/>
      <c r="G95" s="96" t="n"/>
      <c r="H95" s="96" t="n"/>
      <c r="I95" s="96" t="n"/>
      <c r="J95" s="96" t="n"/>
      <c r="K95" s="97" t="n"/>
      <c r="L95" s="135" t="n"/>
      <c r="M95" s="99" t="n"/>
      <c r="N95" s="99" t="n"/>
    </row>
    <row r="96" ht="18" customHeight="1">
      <c r="A96" s="91" t="inlineStr">
        <is>
          <t>Oct-25</t>
        </is>
      </c>
      <c r="B96" s="133" t="inlineStr">
        <is>
          <t>Hemp Seed Oil 500ml</t>
        </is>
      </c>
      <c r="C96" s="110" t="n"/>
      <c r="D96" s="95" t="n"/>
      <c r="E96" s="92" t="n"/>
      <c r="F96" s="92" t="n"/>
      <c r="G96" s="92" t="n"/>
      <c r="H96" s="92" t="n"/>
      <c r="I96" s="92" t="n"/>
      <c r="J96" s="92" t="n"/>
      <c r="K96" s="93" t="n"/>
      <c r="L96" s="134" t="n"/>
      <c r="M96" s="95" t="n"/>
      <c r="N96" s="95" t="n"/>
    </row>
    <row r="97" ht="18" customHeight="1">
      <c r="A97" s="91" t="inlineStr">
        <is>
          <t>Oct-25</t>
        </is>
      </c>
      <c r="B97" s="133" t="inlineStr">
        <is>
          <t>Hemp Protein Powder 1kg</t>
        </is>
      </c>
      <c r="C97" s="115" t="n"/>
      <c r="D97" s="99" t="n"/>
      <c r="E97" s="96" t="n"/>
      <c r="F97" s="96" t="n"/>
      <c r="G97" s="96" t="n"/>
      <c r="H97" s="96" t="n"/>
      <c r="I97" s="96" t="n"/>
      <c r="J97" s="96" t="n"/>
      <c r="K97" s="97" t="n"/>
      <c r="L97" s="135" t="n"/>
      <c r="M97" s="99" t="n"/>
      <c r="N97" s="99" t="n"/>
    </row>
    <row r="98" ht="18" customHeight="1">
      <c r="A98" s="91" t="inlineStr">
        <is>
          <t>Oct-25</t>
        </is>
      </c>
      <c r="B98" s="133" t="inlineStr">
        <is>
          <t>Hemp Hearts 500g</t>
        </is>
      </c>
      <c r="C98" s="110" t="n"/>
      <c r="D98" s="95" t="n"/>
      <c r="E98" s="92" t="n"/>
      <c r="F98" s="92" t="n"/>
      <c r="G98" s="92" t="n"/>
      <c r="H98" s="92" t="n"/>
      <c r="I98" s="92" t="n"/>
      <c r="J98" s="92" t="n"/>
      <c r="K98" s="93" t="n"/>
      <c r="L98" s="134" t="n"/>
      <c r="M98" s="95" t="n"/>
      <c r="N98" s="95" t="n"/>
    </row>
    <row r="99" ht="18" customHeight="1">
      <c r="A99" s="91" t="inlineStr">
        <is>
          <t>Oct-25</t>
        </is>
      </c>
      <c r="B99" s="133" t="inlineStr">
        <is>
          <t>Hemp Granola 400g</t>
        </is>
      </c>
      <c r="C99" s="115" t="n"/>
      <c r="D99" s="99" t="n"/>
      <c r="E99" s="96" t="n"/>
      <c r="F99" s="96" t="n"/>
      <c r="G99" s="96" t="n"/>
      <c r="H99" s="96" t="n"/>
      <c r="I99" s="96" t="n"/>
      <c r="J99" s="96" t="n"/>
      <c r="K99" s="97" t="n"/>
      <c r="L99" s="135" t="n"/>
      <c r="M99" s="99" t="n"/>
      <c r="N99" s="99" t="n"/>
    </row>
    <row r="100" ht="18" customHeight="1">
      <c r="A100" s="91" t="inlineStr">
        <is>
          <t>Oct-25</t>
        </is>
      </c>
      <c r="B100" s="133" t="inlineStr">
        <is>
          <t>Hemp Energy Bar (Box 12)</t>
        </is>
      </c>
      <c r="C100" s="110" t="n"/>
      <c r="D100" s="95" t="n"/>
      <c r="E100" s="92" t="n"/>
      <c r="F100" s="92" t="n"/>
      <c r="G100" s="92" t="n"/>
      <c r="H100" s="92" t="n"/>
      <c r="I100" s="92" t="n"/>
      <c r="J100" s="92" t="n"/>
      <c r="K100" s="93" t="n"/>
      <c r="L100" s="134" t="n"/>
      <c r="M100" s="95" t="n"/>
      <c r="N100" s="95" t="n"/>
    </row>
    <row r="101" ht="18" customHeight="1">
      <c r="A101" s="91" t="inlineStr">
        <is>
          <t>Oct-25</t>
        </is>
      </c>
      <c r="B101" s="133" t="inlineStr">
        <is>
          <t>Hemp Superfood Blend 300g</t>
        </is>
      </c>
      <c r="C101" s="115" t="n"/>
      <c r="D101" s="99" t="n"/>
      <c r="E101" s="96" t="n"/>
      <c r="F101" s="96" t="n"/>
      <c r="G101" s="96" t="n"/>
      <c r="H101" s="96" t="n"/>
      <c r="I101" s="96" t="n"/>
      <c r="J101" s="96" t="n"/>
      <c r="K101" s="97" t="n"/>
      <c r="L101" s="135" t="n"/>
      <c r="M101" s="99" t="n"/>
      <c r="N101" s="99" t="n"/>
    </row>
    <row r="102" ht="18" customHeight="1">
      <c r="A102" s="91" t="inlineStr">
        <is>
          <t>Oct-25</t>
        </is>
      </c>
      <c r="B102" s="133" t="inlineStr">
        <is>
          <t>Hemp Omega Capsules 60s</t>
        </is>
      </c>
      <c r="C102" s="110" t="n"/>
      <c r="D102" s="95" t="n"/>
      <c r="E102" s="92" t="n"/>
      <c r="F102" s="92" t="n"/>
      <c r="G102" s="92" t="n"/>
      <c r="H102" s="92" t="n"/>
      <c r="I102" s="92" t="n"/>
      <c r="J102" s="92" t="n"/>
      <c r="K102" s="93" t="n"/>
      <c r="L102" s="134" t="n"/>
      <c r="M102" s="95" t="n"/>
      <c r="N102" s="95" t="n"/>
    </row>
    <row r="103" ht="18" customHeight="1">
      <c r="A103" s="91" t="inlineStr">
        <is>
          <t>Oct-25</t>
        </is>
      </c>
      <c r="B103" s="133" t="inlineStr">
        <is>
          <t>Hemp Infused Honey 250g</t>
        </is>
      </c>
      <c r="C103" s="115" t="n"/>
      <c r="D103" s="99" t="n"/>
      <c r="E103" s="96" t="n"/>
      <c r="F103" s="96" t="n"/>
      <c r="G103" s="96" t="n"/>
      <c r="H103" s="96" t="n"/>
      <c r="I103" s="96" t="n"/>
      <c r="J103" s="96" t="n"/>
      <c r="K103" s="97" t="n"/>
      <c r="L103" s="135" t="n"/>
      <c r="M103" s="99" t="n"/>
      <c r="N103" s="99" t="n"/>
    </row>
    <row r="104" ht="18" customHeight="1">
      <c r="A104" s="91" t="inlineStr">
        <is>
          <t>Oct-25</t>
        </is>
      </c>
      <c r="B104" s="133" t="inlineStr">
        <is>
          <t>Hemp Seed Butter 400g</t>
        </is>
      </c>
      <c r="C104" s="110" t="n"/>
      <c r="D104" s="95" t="n"/>
      <c r="E104" s="92" t="n"/>
      <c r="F104" s="92" t="n"/>
      <c r="G104" s="92" t="n"/>
      <c r="H104" s="92" t="n"/>
      <c r="I104" s="92" t="n"/>
      <c r="J104" s="92" t="n"/>
      <c r="K104" s="93" t="n"/>
      <c r="L104" s="134" t="n"/>
      <c r="M104" s="95" t="n"/>
      <c r="N104" s="95" t="n"/>
    </row>
    <row r="105" ht="18" customHeight="1">
      <c r="A105" s="91" t="inlineStr">
        <is>
          <t>Oct-25</t>
        </is>
      </c>
      <c r="B105" s="133" t="inlineStr">
        <is>
          <t>Hemp Flour 1kg</t>
        </is>
      </c>
      <c r="C105" s="115" t="n"/>
      <c r="D105" s="99" t="n"/>
      <c r="E105" s="96" t="n"/>
      <c r="F105" s="96" t="n"/>
      <c r="G105" s="96" t="n"/>
      <c r="H105" s="96" t="n"/>
      <c r="I105" s="96" t="n"/>
      <c r="J105" s="96" t="n"/>
      <c r="K105" s="97" t="n"/>
      <c r="L105" s="135" t="n"/>
      <c r="M105" s="99" t="n"/>
      <c r="N105" s="99" t="n"/>
    </row>
    <row r="106" ht="18" customHeight="1">
      <c r="A106" s="91" t="inlineStr">
        <is>
          <t>Nov-25</t>
        </is>
      </c>
      <c r="B106" s="133" t="inlineStr">
        <is>
          <t>Hemp Seed Oil 500ml</t>
        </is>
      </c>
      <c r="C106" s="110" t="n"/>
      <c r="D106" s="95" t="n"/>
      <c r="E106" s="92" t="n"/>
      <c r="F106" s="92" t="n"/>
      <c r="G106" s="92" t="n"/>
      <c r="H106" s="92" t="n"/>
      <c r="I106" s="92" t="n"/>
      <c r="J106" s="92" t="n"/>
      <c r="K106" s="93" t="n"/>
      <c r="L106" s="134" t="n"/>
      <c r="M106" s="95" t="n"/>
      <c r="N106" s="95" t="n"/>
    </row>
    <row r="107" ht="18" customHeight="1">
      <c r="A107" s="91" t="inlineStr">
        <is>
          <t>Nov-25</t>
        </is>
      </c>
      <c r="B107" s="133" t="inlineStr">
        <is>
          <t>Hemp Protein Powder 1kg</t>
        </is>
      </c>
      <c r="C107" s="115" t="n"/>
      <c r="D107" s="99" t="n"/>
      <c r="E107" s="96" t="n"/>
      <c r="F107" s="96" t="n"/>
      <c r="G107" s="96" t="n"/>
      <c r="H107" s="96" t="n"/>
      <c r="I107" s="96" t="n"/>
      <c r="J107" s="96" t="n"/>
      <c r="K107" s="97" t="n"/>
      <c r="L107" s="135" t="n"/>
      <c r="M107" s="99" t="n"/>
      <c r="N107" s="99" t="n"/>
    </row>
    <row r="108" ht="18" customHeight="1">
      <c r="A108" s="91" t="inlineStr">
        <is>
          <t>Nov-25</t>
        </is>
      </c>
      <c r="B108" s="133" t="inlineStr">
        <is>
          <t>Hemp Hearts 500g</t>
        </is>
      </c>
      <c r="C108" s="110" t="n"/>
      <c r="D108" s="95" t="n"/>
      <c r="E108" s="92" t="n"/>
      <c r="F108" s="92" t="n"/>
      <c r="G108" s="92" t="n"/>
      <c r="H108" s="92" t="n"/>
      <c r="I108" s="92" t="n"/>
      <c r="J108" s="92" t="n"/>
      <c r="K108" s="93" t="n"/>
      <c r="L108" s="134" t="n"/>
      <c r="M108" s="95" t="n"/>
      <c r="N108" s="95" t="n"/>
    </row>
    <row r="109" ht="18" customHeight="1">
      <c r="A109" s="91" t="inlineStr">
        <is>
          <t>Nov-25</t>
        </is>
      </c>
      <c r="B109" s="133" t="inlineStr">
        <is>
          <t>Hemp Granola 400g</t>
        </is>
      </c>
      <c r="C109" s="115" t="n"/>
      <c r="D109" s="99" t="n"/>
      <c r="E109" s="96" t="n"/>
      <c r="F109" s="96" t="n"/>
      <c r="G109" s="96" t="n"/>
      <c r="H109" s="96" t="n"/>
      <c r="I109" s="96" t="n"/>
      <c r="J109" s="96" t="n"/>
      <c r="K109" s="97" t="n"/>
      <c r="L109" s="135" t="n"/>
      <c r="M109" s="99" t="n"/>
      <c r="N109" s="99" t="n"/>
    </row>
    <row r="110" ht="18" customHeight="1">
      <c r="A110" s="91" t="inlineStr">
        <is>
          <t>Nov-25</t>
        </is>
      </c>
      <c r="B110" s="133" t="inlineStr">
        <is>
          <t>Hemp Energy Bar (Box 12)</t>
        </is>
      </c>
      <c r="C110" s="110" t="n"/>
      <c r="D110" s="95" t="n"/>
      <c r="E110" s="92" t="n"/>
      <c r="F110" s="92" t="n"/>
      <c r="G110" s="92" t="n"/>
      <c r="H110" s="92" t="n"/>
      <c r="I110" s="92" t="n"/>
      <c r="J110" s="92" t="n"/>
      <c r="K110" s="93" t="n"/>
      <c r="L110" s="134" t="n"/>
      <c r="M110" s="95" t="n"/>
      <c r="N110" s="95" t="n"/>
    </row>
    <row r="111" ht="18" customHeight="1">
      <c r="A111" s="91" t="inlineStr">
        <is>
          <t>Nov-25</t>
        </is>
      </c>
      <c r="B111" s="133" t="inlineStr">
        <is>
          <t>Hemp Superfood Blend 300g</t>
        </is>
      </c>
      <c r="C111" s="115" t="n"/>
      <c r="D111" s="99" t="n"/>
      <c r="E111" s="96" t="n"/>
      <c r="F111" s="96" t="n"/>
      <c r="G111" s="96" t="n"/>
      <c r="H111" s="96" t="n"/>
      <c r="I111" s="96" t="n"/>
      <c r="J111" s="96" t="n"/>
      <c r="K111" s="97" t="n"/>
      <c r="L111" s="135" t="n"/>
      <c r="M111" s="99" t="n"/>
      <c r="N111" s="99" t="n"/>
    </row>
    <row r="112" ht="18" customHeight="1">
      <c r="A112" s="91" t="inlineStr">
        <is>
          <t>Nov-25</t>
        </is>
      </c>
      <c r="B112" s="133" t="inlineStr">
        <is>
          <t>Hemp Omega Capsules 60s</t>
        </is>
      </c>
      <c r="C112" s="110" t="n"/>
      <c r="D112" s="95" t="n"/>
      <c r="E112" s="92" t="n"/>
      <c r="F112" s="92" t="n"/>
      <c r="G112" s="92" t="n"/>
      <c r="H112" s="92" t="n"/>
      <c r="I112" s="92" t="n"/>
      <c r="J112" s="92" t="n"/>
      <c r="K112" s="93" t="n"/>
      <c r="L112" s="134" t="n"/>
      <c r="M112" s="95" t="n"/>
      <c r="N112" s="95" t="n"/>
    </row>
    <row r="113" ht="18" customHeight="1">
      <c r="A113" s="91" t="inlineStr">
        <is>
          <t>Nov-25</t>
        </is>
      </c>
      <c r="B113" s="133" t="inlineStr">
        <is>
          <t>Hemp Infused Honey 250g</t>
        </is>
      </c>
      <c r="C113" s="115" t="n"/>
      <c r="D113" s="99" t="n"/>
      <c r="E113" s="96" t="n"/>
      <c r="F113" s="96" t="n"/>
      <c r="G113" s="96" t="n"/>
      <c r="H113" s="96" t="n"/>
      <c r="I113" s="96" t="n"/>
      <c r="J113" s="96" t="n"/>
      <c r="K113" s="97" t="n"/>
      <c r="L113" s="135" t="n"/>
      <c r="M113" s="99" t="n"/>
      <c r="N113" s="99" t="n"/>
    </row>
    <row r="114" ht="18" customHeight="1">
      <c r="A114" s="91" t="inlineStr">
        <is>
          <t>Nov-25</t>
        </is>
      </c>
      <c r="B114" s="133" t="inlineStr">
        <is>
          <t>Hemp Seed Butter 400g</t>
        </is>
      </c>
      <c r="C114" s="110" t="n"/>
      <c r="D114" s="95" t="n"/>
      <c r="E114" s="92" t="n"/>
      <c r="F114" s="92" t="n"/>
      <c r="G114" s="92" t="n"/>
      <c r="H114" s="92" t="n"/>
      <c r="I114" s="92" t="n"/>
      <c r="J114" s="92" t="n"/>
      <c r="K114" s="93" t="n"/>
      <c r="L114" s="134" t="n"/>
      <c r="M114" s="95" t="n"/>
      <c r="N114" s="95" t="n"/>
    </row>
    <row r="115" ht="18" customHeight="1">
      <c r="A115" s="91" t="inlineStr">
        <is>
          <t>Nov-25</t>
        </is>
      </c>
      <c r="B115" s="133" t="inlineStr">
        <is>
          <t>Hemp Flour 1kg</t>
        </is>
      </c>
      <c r="C115" s="115" t="n"/>
      <c r="D115" s="99" t="n"/>
      <c r="E115" s="96" t="n"/>
      <c r="F115" s="96" t="n"/>
      <c r="G115" s="96" t="n"/>
      <c r="H115" s="96" t="n"/>
      <c r="I115" s="96" t="n"/>
      <c r="J115" s="96" t="n"/>
      <c r="K115" s="97" t="n"/>
      <c r="L115" s="135" t="n"/>
      <c r="M115" s="99" t="n"/>
      <c r="N115" s="99" t="n"/>
    </row>
    <row r="116" ht="18" customHeight="1">
      <c r="A116" s="91" t="inlineStr">
        <is>
          <t>Dec-25</t>
        </is>
      </c>
      <c r="B116" s="133" t="inlineStr">
        <is>
          <t>Hemp Seed Oil 500ml</t>
        </is>
      </c>
      <c r="C116" s="110" t="n"/>
      <c r="D116" s="95" t="n"/>
      <c r="E116" s="92" t="n"/>
      <c r="F116" s="92" t="n"/>
      <c r="G116" s="92" t="n"/>
      <c r="H116" s="92" t="n"/>
      <c r="I116" s="92" t="n"/>
      <c r="J116" s="92" t="n"/>
      <c r="K116" s="93" t="n"/>
      <c r="L116" s="134" t="n"/>
      <c r="M116" s="95" t="n"/>
      <c r="N116" s="95" t="n"/>
    </row>
    <row r="117" ht="18" customHeight="1">
      <c r="A117" s="91" t="inlineStr">
        <is>
          <t>Dec-25</t>
        </is>
      </c>
      <c r="B117" s="133" t="inlineStr">
        <is>
          <t>Hemp Protein Powder 1kg</t>
        </is>
      </c>
      <c r="C117" s="115" t="n"/>
      <c r="D117" s="99" t="n"/>
      <c r="E117" s="96" t="n"/>
      <c r="F117" s="96" t="n"/>
      <c r="G117" s="96" t="n"/>
      <c r="H117" s="96" t="n"/>
      <c r="I117" s="96" t="n"/>
      <c r="J117" s="96" t="n"/>
      <c r="K117" s="97" t="n"/>
      <c r="L117" s="135" t="n"/>
      <c r="M117" s="99" t="n"/>
      <c r="N117" s="99" t="n"/>
    </row>
    <row r="118" ht="18" customHeight="1">
      <c r="A118" s="91" t="inlineStr">
        <is>
          <t>Dec-25</t>
        </is>
      </c>
      <c r="B118" s="133" t="inlineStr">
        <is>
          <t>Hemp Hearts 500g</t>
        </is>
      </c>
      <c r="C118" s="110" t="n"/>
      <c r="D118" s="95" t="n"/>
      <c r="E118" s="92" t="n"/>
      <c r="F118" s="92" t="n"/>
      <c r="G118" s="92" t="n"/>
      <c r="H118" s="92" t="n"/>
      <c r="I118" s="92" t="n"/>
      <c r="J118" s="92" t="n"/>
      <c r="K118" s="93" t="n"/>
      <c r="L118" s="134" t="n"/>
      <c r="M118" s="95" t="n"/>
      <c r="N118" s="95" t="n"/>
    </row>
    <row r="119" ht="18" customHeight="1">
      <c r="A119" s="91" t="inlineStr">
        <is>
          <t>Dec-25</t>
        </is>
      </c>
      <c r="B119" s="133" t="inlineStr">
        <is>
          <t>Hemp Granola 400g</t>
        </is>
      </c>
      <c r="C119" s="115" t="n"/>
      <c r="D119" s="99" t="n"/>
      <c r="E119" s="96" t="n"/>
      <c r="F119" s="96" t="n"/>
      <c r="G119" s="96" t="n"/>
      <c r="H119" s="96" t="n"/>
      <c r="I119" s="96" t="n"/>
      <c r="J119" s="96" t="n"/>
      <c r="K119" s="97" t="n"/>
      <c r="L119" s="135" t="n"/>
      <c r="M119" s="99" t="n"/>
      <c r="N119" s="99" t="n"/>
    </row>
    <row r="120" ht="18" customHeight="1">
      <c r="A120" s="91" t="inlineStr">
        <is>
          <t>Dec-25</t>
        </is>
      </c>
      <c r="B120" s="133" t="inlineStr">
        <is>
          <t>Hemp Energy Bar (Box 12)</t>
        </is>
      </c>
      <c r="C120" s="110" t="n"/>
      <c r="D120" s="95" t="n"/>
      <c r="E120" s="92" t="n"/>
      <c r="F120" s="92" t="n"/>
      <c r="G120" s="92" t="n"/>
      <c r="H120" s="92" t="n"/>
      <c r="I120" s="92" t="n"/>
      <c r="J120" s="92" t="n"/>
      <c r="K120" s="93" t="n"/>
      <c r="L120" s="134" t="n"/>
      <c r="M120" s="95" t="n"/>
      <c r="N120" s="95" t="n"/>
    </row>
    <row r="121" ht="18" customHeight="1">
      <c r="A121" s="91" t="inlineStr">
        <is>
          <t>Dec-25</t>
        </is>
      </c>
      <c r="B121" s="133" t="inlineStr">
        <is>
          <t>Hemp Superfood Blend 300g</t>
        </is>
      </c>
      <c r="C121" s="115" t="n"/>
      <c r="D121" s="99" t="n"/>
      <c r="E121" s="96" t="n"/>
      <c r="F121" s="96" t="n"/>
      <c r="G121" s="96" t="n"/>
      <c r="H121" s="96" t="n"/>
      <c r="I121" s="96" t="n"/>
      <c r="J121" s="96" t="n"/>
      <c r="K121" s="97" t="n"/>
      <c r="L121" s="135" t="n"/>
      <c r="M121" s="99" t="n"/>
      <c r="N121" s="99" t="n"/>
    </row>
    <row r="122" ht="18" customHeight="1">
      <c r="A122" s="91" t="inlineStr">
        <is>
          <t>Dec-25</t>
        </is>
      </c>
      <c r="B122" s="133" t="inlineStr">
        <is>
          <t>Hemp Omega Capsules 60s</t>
        </is>
      </c>
      <c r="C122" s="110" t="n"/>
      <c r="D122" s="95" t="n"/>
      <c r="E122" s="92" t="n"/>
      <c r="F122" s="92" t="n"/>
      <c r="G122" s="92" t="n"/>
      <c r="H122" s="92" t="n"/>
      <c r="I122" s="92" t="n"/>
      <c r="J122" s="92" t="n"/>
      <c r="K122" s="93" t="n"/>
      <c r="L122" s="134" t="n"/>
      <c r="M122" s="95" t="n"/>
      <c r="N122" s="95" t="n"/>
    </row>
    <row r="123" ht="18" customHeight="1">
      <c r="A123" s="91" t="inlineStr">
        <is>
          <t>Dec-25</t>
        </is>
      </c>
      <c r="B123" s="133" t="inlineStr">
        <is>
          <t>Hemp Infused Honey 250g</t>
        </is>
      </c>
      <c r="C123" s="115" t="n"/>
      <c r="D123" s="99" t="n"/>
      <c r="E123" s="96" t="n"/>
      <c r="F123" s="96" t="n"/>
      <c r="G123" s="96" t="n"/>
      <c r="H123" s="96" t="n"/>
      <c r="I123" s="96" t="n"/>
      <c r="J123" s="96" t="n"/>
      <c r="K123" s="97" t="n"/>
      <c r="L123" s="135" t="n"/>
      <c r="M123" s="99" t="n"/>
      <c r="N123" s="99" t="n"/>
    </row>
    <row r="124" ht="18" customHeight="1">
      <c r="A124" s="91" t="inlineStr">
        <is>
          <t>Dec-25</t>
        </is>
      </c>
      <c r="B124" s="133" t="inlineStr">
        <is>
          <t>Hemp Seed Butter 400g</t>
        </is>
      </c>
      <c r="C124" s="110" t="n"/>
      <c r="D124" s="95" t="n"/>
      <c r="E124" s="92" t="n"/>
      <c r="F124" s="92" t="n"/>
      <c r="G124" s="92" t="n"/>
      <c r="H124" s="92" t="n"/>
      <c r="I124" s="92" t="n"/>
      <c r="J124" s="92" t="n"/>
      <c r="K124" s="93" t="n"/>
      <c r="L124" s="134" t="n"/>
      <c r="M124" s="95" t="n"/>
      <c r="N124" s="95" t="n"/>
    </row>
    <row r="125" ht="18" customHeight="1">
      <c r="A125" s="91" t="inlineStr">
        <is>
          <t>Dec-25</t>
        </is>
      </c>
      <c r="B125" s="133" t="inlineStr">
        <is>
          <t>Hemp Flour 1kg</t>
        </is>
      </c>
      <c r="C125" s="115" t="n"/>
      <c r="D125" s="99" t="n"/>
      <c r="E125" s="96" t="n"/>
      <c r="F125" s="96" t="n"/>
      <c r="G125" s="96" t="n"/>
      <c r="H125" s="96" t="n"/>
      <c r="I125" s="96" t="n"/>
      <c r="J125" s="96" t="n"/>
      <c r="K125" s="97" t="n"/>
      <c r="L125" s="135" t="n"/>
      <c r="M125" s="99" t="n"/>
      <c r="N125" s="99" t="n"/>
    </row>
    <row r="126" ht="18" customHeight="1">
      <c r="A126" s="91" t="inlineStr">
        <is>
          <t>Jan-26</t>
        </is>
      </c>
      <c r="B126" s="133" t="inlineStr">
        <is>
          <t>Hemp Seed Oil 500ml</t>
        </is>
      </c>
      <c r="C126" s="110" t="n"/>
      <c r="D126" s="95" t="n"/>
      <c r="E126" s="92" t="n"/>
      <c r="F126" s="92" t="n"/>
      <c r="G126" s="92" t="n"/>
      <c r="H126" s="92" t="n"/>
      <c r="I126" s="92" t="n"/>
      <c r="J126" s="92" t="n"/>
      <c r="K126" s="93" t="n"/>
      <c r="L126" s="134" t="n"/>
      <c r="M126" s="95" t="n"/>
      <c r="N126" s="95" t="n"/>
    </row>
    <row r="127" ht="18" customHeight="1">
      <c r="A127" s="91" t="inlineStr">
        <is>
          <t>Jan-26</t>
        </is>
      </c>
      <c r="B127" s="133" t="inlineStr">
        <is>
          <t>Hemp Protein Powder 1kg</t>
        </is>
      </c>
      <c r="C127" s="115" t="n"/>
      <c r="D127" s="99" t="n"/>
      <c r="E127" s="96" t="n"/>
      <c r="F127" s="96" t="n"/>
      <c r="G127" s="96" t="n"/>
      <c r="H127" s="96" t="n"/>
      <c r="I127" s="96" t="n"/>
      <c r="J127" s="96" t="n"/>
      <c r="K127" s="97" t="n"/>
      <c r="L127" s="135" t="n"/>
      <c r="M127" s="99" t="n"/>
      <c r="N127" s="99" t="n"/>
    </row>
    <row r="128" ht="18" customHeight="1">
      <c r="A128" s="91" t="inlineStr">
        <is>
          <t>Jan-26</t>
        </is>
      </c>
      <c r="B128" s="133" t="inlineStr">
        <is>
          <t>Hemp Hearts 500g</t>
        </is>
      </c>
      <c r="C128" s="110" t="n"/>
      <c r="D128" s="95" t="n"/>
      <c r="E128" s="92" t="n"/>
      <c r="F128" s="92" t="n"/>
      <c r="G128" s="92" t="n"/>
      <c r="H128" s="92" t="n"/>
      <c r="I128" s="92" t="n"/>
      <c r="J128" s="92" t="n"/>
      <c r="K128" s="93" t="n"/>
      <c r="L128" s="134" t="n"/>
      <c r="M128" s="95" t="n"/>
      <c r="N128" s="95" t="n"/>
    </row>
    <row r="129" ht="18" customHeight="1">
      <c r="A129" s="91" t="inlineStr">
        <is>
          <t>Jan-26</t>
        </is>
      </c>
      <c r="B129" s="133" t="inlineStr">
        <is>
          <t>Hemp Granola 400g</t>
        </is>
      </c>
      <c r="C129" s="115" t="n"/>
      <c r="D129" s="99" t="n"/>
      <c r="E129" s="96" t="n"/>
      <c r="F129" s="96" t="n"/>
      <c r="G129" s="96" t="n"/>
      <c r="H129" s="96" t="n"/>
      <c r="I129" s="96" t="n"/>
      <c r="J129" s="96" t="n"/>
      <c r="K129" s="97" t="n"/>
      <c r="L129" s="135" t="n"/>
      <c r="M129" s="99" t="n"/>
      <c r="N129" s="99" t="n"/>
    </row>
    <row r="130" ht="18" customHeight="1">
      <c r="A130" s="91" t="inlineStr">
        <is>
          <t>Jan-26</t>
        </is>
      </c>
      <c r="B130" s="133" t="inlineStr">
        <is>
          <t>Hemp Energy Bar (Box 12)</t>
        </is>
      </c>
      <c r="C130" s="110" t="n"/>
      <c r="D130" s="95" t="n"/>
      <c r="E130" s="92" t="n"/>
      <c r="F130" s="92" t="n"/>
      <c r="G130" s="92" t="n"/>
      <c r="H130" s="92" t="n"/>
      <c r="I130" s="92" t="n"/>
      <c r="J130" s="92" t="n"/>
      <c r="K130" s="93" t="n"/>
      <c r="L130" s="134" t="n"/>
      <c r="M130" s="95" t="n"/>
      <c r="N130" s="95" t="n"/>
    </row>
    <row r="131" ht="18" customHeight="1">
      <c r="A131" s="91" t="inlineStr">
        <is>
          <t>Jan-26</t>
        </is>
      </c>
      <c r="B131" s="133" t="inlineStr">
        <is>
          <t>Hemp Superfood Blend 300g</t>
        </is>
      </c>
      <c r="C131" s="115" t="n"/>
      <c r="D131" s="99" t="n"/>
      <c r="E131" s="96" t="n"/>
      <c r="F131" s="96" t="n"/>
      <c r="G131" s="96" t="n"/>
      <c r="H131" s="96" t="n"/>
      <c r="I131" s="96" t="n"/>
      <c r="J131" s="96" t="n"/>
      <c r="K131" s="97" t="n"/>
      <c r="L131" s="135" t="n"/>
      <c r="M131" s="99" t="n"/>
      <c r="N131" s="99" t="n"/>
    </row>
    <row r="132" ht="18" customHeight="1">
      <c r="A132" s="91" t="inlineStr">
        <is>
          <t>Jan-26</t>
        </is>
      </c>
      <c r="B132" s="133" t="inlineStr">
        <is>
          <t>Hemp Omega Capsules 60s</t>
        </is>
      </c>
      <c r="C132" s="110" t="n"/>
      <c r="D132" s="95" t="n"/>
      <c r="E132" s="92" t="n"/>
      <c r="F132" s="92" t="n"/>
      <c r="G132" s="92" t="n"/>
      <c r="H132" s="92" t="n"/>
      <c r="I132" s="92" t="n"/>
      <c r="J132" s="92" t="n"/>
      <c r="K132" s="93" t="n"/>
      <c r="L132" s="134" t="n"/>
      <c r="M132" s="95" t="n"/>
      <c r="N132" s="95" t="n"/>
    </row>
    <row r="133" ht="18" customHeight="1">
      <c r="A133" s="91" t="inlineStr">
        <is>
          <t>Jan-26</t>
        </is>
      </c>
      <c r="B133" s="133" t="inlineStr">
        <is>
          <t>Hemp Infused Honey 250g</t>
        </is>
      </c>
      <c r="C133" s="115" t="n"/>
      <c r="D133" s="99" t="n"/>
      <c r="E133" s="96" t="n"/>
      <c r="F133" s="96" t="n"/>
      <c r="G133" s="96" t="n"/>
      <c r="H133" s="96" t="n"/>
      <c r="I133" s="96" t="n"/>
      <c r="J133" s="96" t="n"/>
      <c r="K133" s="97" t="n"/>
      <c r="L133" s="135" t="n"/>
      <c r="M133" s="99" t="n"/>
      <c r="N133" s="99" t="n"/>
    </row>
    <row r="134" ht="18" customHeight="1">
      <c r="A134" s="91" t="inlineStr">
        <is>
          <t>Jan-26</t>
        </is>
      </c>
      <c r="B134" s="133" t="inlineStr">
        <is>
          <t>Hemp Seed Butter 400g</t>
        </is>
      </c>
      <c r="C134" s="110" t="n"/>
      <c r="D134" s="95" t="n"/>
      <c r="E134" s="92" t="n"/>
      <c r="F134" s="92" t="n"/>
      <c r="G134" s="92" t="n"/>
      <c r="H134" s="92" t="n"/>
      <c r="I134" s="92" t="n"/>
      <c r="J134" s="92" t="n"/>
      <c r="K134" s="93" t="n"/>
      <c r="L134" s="134" t="n"/>
      <c r="M134" s="95" t="n"/>
      <c r="N134" s="95" t="n"/>
    </row>
    <row r="135" ht="18" customHeight="1">
      <c r="A135" s="91" t="inlineStr">
        <is>
          <t>Jan-26</t>
        </is>
      </c>
      <c r="B135" s="133" t="inlineStr">
        <is>
          <t>Hemp Flour 1kg</t>
        </is>
      </c>
      <c r="C135" s="115" t="n"/>
      <c r="D135" s="99" t="n"/>
      <c r="E135" s="96" t="n"/>
      <c r="F135" s="96" t="n"/>
      <c r="G135" s="96" t="n"/>
      <c r="H135" s="96" t="n"/>
      <c r="I135" s="96" t="n"/>
      <c r="J135" s="96" t="n"/>
      <c r="K135" s="97" t="n"/>
      <c r="L135" s="135" t="n"/>
      <c r="M135" s="99" t="n"/>
      <c r="N135" s="99" t="n"/>
    </row>
    <row r="136" ht="18" customHeight="1">
      <c r="A136" s="91" t="inlineStr">
        <is>
          <t>Feb-26</t>
        </is>
      </c>
      <c r="B136" s="133" t="inlineStr">
        <is>
          <t>Hemp Seed Oil 500ml</t>
        </is>
      </c>
      <c r="C136" s="110" t="n"/>
      <c r="D136" s="95" t="n"/>
      <c r="E136" s="92" t="n"/>
      <c r="F136" s="92" t="n"/>
      <c r="G136" s="92" t="n"/>
      <c r="H136" s="92" t="n"/>
      <c r="I136" s="92" t="n"/>
      <c r="J136" s="92" t="n"/>
      <c r="K136" s="93" t="n"/>
      <c r="L136" s="134" t="n"/>
      <c r="M136" s="95" t="n"/>
      <c r="N136" s="95" t="n"/>
    </row>
    <row r="137" ht="18" customHeight="1">
      <c r="A137" s="91" t="inlineStr">
        <is>
          <t>Feb-26</t>
        </is>
      </c>
      <c r="B137" s="133" t="inlineStr">
        <is>
          <t>Hemp Protein Powder 1kg</t>
        </is>
      </c>
      <c r="C137" s="115" t="n"/>
      <c r="D137" s="99" t="n"/>
      <c r="E137" s="96" t="n"/>
      <c r="F137" s="96" t="n"/>
      <c r="G137" s="96" t="n"/>
      <c r="H137" s="96" t="n"/>
      <c r="I137" s="96" t="n"/>
      <c r="J137" s="96" t="n"/>
      <c r="K137" s="97" t="n"/>
      <c r="L137" s="135" t="n"/>
      <c r="M137" s="99" t="n"/>
      <c r="N137" s="99" t="n"/>
    </row>
    <row r="138" ht="18" customHeight="1">
      <c r="A138" s="91" t="inlineStr">
        <is>
          <t>Feb-26</t>
        </is>
      </c>
      <c r="B138" s="133" t="inlineStr">
        <is>
          <t>Hemp Hearts 500g</t>
        </is>
      </c>
      <c r="C138" s="110" t="n"/>
      <c r="D138" s="95" t="n"/>
      <c r="E138" s="92" t="n"/>
      <c r="F138" s="92" t="n"/>
      <c r="G138" s="92" t="n"/>
      <c r="H138" s="92" t="n"/>
      <c r="I138" s="92" t="n"/>
      <c r="J138" s="92" t="n"/>
      <c r="K138" s="93" t="n"/>
      <c r="L138" s="134" t="n"/>
      <c r="M138" s="95" t="n"/>
      <c r="N138" s="95" t="n"/>
    </row>
    <row r="139" ht="18" customHeight="1">
      <c r="A139" s="91" t="inlineStr">
        <is>
          <t>Feb-26</t>
        </is>
      </c>
      <c r="B139" s="133" t="inlineStr">
        <is>
          <t>Hemp Granola 400g</t>
        </is>
      </c>
      <c r="C139" s="115" t="n"/>
      <c r="D139" s="99" t="n"/>
      <c r="E139" s="96" t="n"/>
      <c r="F139" s="96" t="n"/>
      <c r="G139" s="96" t="n"/>
      <c r="H139" s="96" t="n"/>
      <c r="I139" s="96" t="n"/>
      <c r="J139" s="96" t="n"/>
      <c r="K139" s="97" t="n"/>
      <c r="L139" s="135" t="n"/>
      <c r="M139" s="99" t="n"/>
      <c r="N139" s="99" t="n"/>
    </row>
    <row r="140" ht="18" customHeight="1">
      <c r="A140" s="91" t="inlineStr">
        <is>
          <t>Feb-26</t>
        </is>
      </c>
      <c r="B140" s="133" t="inlineStr">
        <is>
          <t>Hemp Energy Bar (Box 12)</t>
        </is>
      </c>
      <c r="C140" s="110" t="n"/>
      <c r="D140" s="95" t="n"/>
      <c r="E140" s="92" t="n"/>
      <c r="F140" s="92" t="n"/>
      <c r="G140" s="92" t="n"/>
      <c r="H140" s="92" t="n"/>
      <c r="I140" s="92" t="n"/>
      <c r="J140" s="92" t="n"/>
      <c r="K140" s="93" t="n"/>
      <c r="L140" s="134" t="n"/>
      <c r="M140" s="95" t="n"/>
      <c r="N140" s="95" t="n"/>
    </row>
    <row r="141" ht="18" customHeight="1">
      <c r="A141" s="91" t="inlineStr">
        <is>
          <t>Feb-26</t>
        </is>
      </c>
      <c r="B141" s="133" t="inlineStr">
        <is>
          <t>Hemp Superfood Blend 300g</t>
        </is>
      </c>
      <c r="C141" s="115" t="n"/>
      <c r="D141" s="99" t="n"/>
      <c r="E141" s="96" t="n"/>
      <c r="F141" s="96" t="n"/>
      <c r="G141" s="96" t="n"/>
      <c r="H141" s="96" t="n"/>
      <c r="I141" s="96" t="n"/>
      <c r="J141" s="96" t="n"/>
      <c r="K141" s="97" t="n"/>
      <c r="L141" s="135" t="n"/>
      <c r="M141" s="99" t="n"/>
      <c r="N141" s="99" t="n"/>
    </row>
    <row r="142" ht="18" customHeight="1">
      <c r="A142" s="91" t="inlineStr">
        <is>
          <t>Feb-26</t>
        </is>
      </c>
      <c r="B142" s="133" t="inlineStr">
        <is>
          <t>Hemp Omega Capsules 60s</t>
        </is>
      </c>
      <c r="C142" s="110" t="n"/>
      <c r="D142" s="95" t="n"/>
      <c r="E142" s="92" t="n"/>
      <c r="F142" s="92" t="n"/>
      <c r="G142" s="92" t="n"/>
      <c r="H142" s="92" t="n"/>
      <c r="I142" s="92" t="n"/>
      <c r="J142" s="92" t="n"/>
      <c r="K142" s="93" t="n"/>
      <c r="L142" s="134" t="n"/>
      <c r="M142" s="95" t="n"/>
      <c r="N142" s="95" t="n"/>
    </row>
    <row r="143" ht="18" customHeight="1">
      <c r="A143" s="91" t="inlineStr">
        <is>
          <t>Feb-26</t>
        </is>
      </c>
      <c r="B143" s="133" t="inlineStr">
        <is>
          <t>Hemp Infused Honey 250g</t>
        </is>
      </c>
      <c r="C143" s="115" t="n"/>
      <c r="D143" s="99" t="n"/>
      <c r="E143" s="96" t="n"/>
      <c r="F143" s="96" t="n"/>
      <c r="G143" s="96" t="n"/>
      <c r="H143" s="96" t="n"/>
      <c r="I143" s="96" t="n"/>
      <c r="J143" s="96" t="n"/>
      <c r="K143" s="97" t="n"/>
      <c r="L143" s="135" t="n"/>
      <c r="M143" s="99" t="n"/>
      <c r="N143" s="99" t="n"/>
    </row>
    <row r="144" ht="18" customHeight="1">
      <c r="A144" s="91" t="inlineStr">
        <is>
          <t>Feb-26</t>
        </is>
      </c>
      <c r="B144" s="133" t="inlineStr">
        <is>
          <t>Hemp Seed Butter 400g</t>
        </is>
      </c>
      <c r="C144" s="110" t="n"/>
      <c r="D144" s="95" t="n"/>
      <c r="E144" s="92" t="n"/>
      <c r="F144" s="92" t="n"/>
      <c r="G144" s="92" t="n"/>
      <c r="H144" s="92" t="n"/>
      <c r="I144" s="92" t="n"/>
      <c r="J144" s="92" t="n"/>
      <c r="K144" s="93" t="n"/>
      <c r="L144" s="134" t="n"/>
      <c r="M144" s="95" t="n"/>
      <c r="N144" s="95" t="n"/>
    </row>
    <row r="145" ht="18" customHeight="1">
      <c r="A145" s="91" t="inlineStr">
        <is>
          <t>Feb-26</t>
        </is>
      </c>
      <c r="B145" s="133" t="inlineStr">
        <is>
          <t>Hemp Flour 1kg</t>
        </is>
      </c>
      <c r="C145" s="115" t="n"/>
      <c r="D145" s="99" t="n"/>
      <c r="E145" s="96" t="n"/>
      <c r="F145" s="96" t="n"/>
      <c r="G145" s="96" t="n"/>
      <c r="H145" s="96" t="n"/>
      <c r="I145" s="96" t="n"/>
      <c r="J145" s="96" t="n"/>
      <c r="K145" s="97" t="n"/>
      <c r="L145" s="135" t="n"/>
      <c r="M145" s="99" t="n"/>
      <c r="N145" s="99" t="n"/>
    </row>
    <row r="146" ht="18" customHeight="1">
      <c r="A146" s="91" t="inlineStr">
        <is>
          <t>Mar-26</t>
        </is>
      </c>
      <c r="B146" s="133" t="inlineStr">
        <is>
          <t>Hemp Seed Oil 500ml</t>
        </is>
      </c>
      <c r="C146" s="110" t="n"/>
      <c r="D146" s="95" t="n"/>
      <c r="E146" s="92" t="n"/>
      <c r="F146" s="92" t="n"/>
      <c r="G146" s="92" t="n"/>
      <c r="H146" s="92" t="n"/>
      <c r="I146" s="92" t="n"/>
      <c r="J146" s="92" t="n"/>
      <c r="K146" s="93" t="n"/>
      <c r="L146" s="134" t="n"/>
      <c r="M146" s="95" t="n"/>
      <c r="N146" s="95" t="n"/>
    </row>
    <row r="147" ht="18" customHeight="1">
      <c r="A147" s="91" t="inlineStr">
        <is>
          <t>Mar-26</t>
        </is>
      </c>
      <c r="B147" s="133" t="inlineStr">
        <is>
          <t>Hemp Protein Powder 1kg</t>
        </is>
      </c>
      <c r="C147" s="115" t="n"/>
      <c r="D147" s="99" t="n"/>
      <c r="E147" s="96" t="n"/>
      <c r="F147" s="96" t="n"/>
      <c r="G147" s="96" t="n"/>
      <c r="H147" s="96" t="n"/>
      <c r="I147" s="96" t="n"/>
      <c r="J147" s="96" t="n"/>
      <c r="K147" s="97" t="n"/>
      <c r="L147" s="135" t="n"/>
      <c r="M147" s="99" t="n"/>
      <c r="N147" s="99" t="n"/>
    </row>
    <row r="148" ht="18" customHeight="1">
      <c r="A148" s="91" t="inlineStr">
        <is>
          <t>Mar-26</t>
        </is>
      </c>
      <c r="B148" s="133" t="inlineStr">
        <is>
          <t>Hemp Hearts 500g</t>
        </is>
      </c>
      <c r="C148" s="110" t="n"/>
      <c r="D148" s="95" t="n"/>
      <c r="E148" s="92" t="n"/>
      <c r="F148" s="92" t="n"/>
      <c r="G148" s="92" t="n"/>
      <c r="H148" s="92" t="n"/>
      <c r="I148" s="92" t="n"/>
      <c r="J148" s="92" t="n"/>
      <c r="K148" s="93" t="n"/>
      <c r="L148" s="134" t="n"/>
      <c r="M148" s="95" t="n"/>
      <c r="N148" s="95" t="n"/>
    </row>
    <row r="149" ht="18" customHeight="1">
      <c r="A149" s="91" t="inlineStr">
        <is>
          <t>Mar-26</t>
        </is>
      </c>
      <c r="B149" s="133" t="inlineStr">
        <is>
          <t>Hemp Granola 400g</t>
        </is>
      </c>
      <c r="C149" s="115" t="n"/>
      <c r="D149" s="99" t="n"/>
      <c r="E149" s="96" t="n"/>
      <c r="F149" s="96" t="n"/>
      <c r="G149" s="96" t="n"/>
      <c r="H149" s="96" t="n"/>
      <c r="I149" s="96" t="n"/>
      <c r="J149" s="96" t="n"/>
      <c r="K149" s="97" t="n"/>
      <c r="L149" s="135" t="n"/>
      <c r="M149" s="99" t="n"/>
      <c r="N149" s="99" t="n"/>
    </row>
    <row r="150" ht="18" customHeight="1">
      <c r="A150" s="91" t="inlineStr">
        <is>
          <t>Mar-26</t>
        </is>
      </c>
      <c r="B150" s="133" t="inlineStr">
        <is>
          <t>Hemp Energy Bar (Box 12)</t>
        </is>
      </c>
      <c r="C150" s="110" t="n"/>
      <c r="D150" s="95" t="n"/>
      <c r="E150" s="92" t="n"/>
      <c r="F150" s="92" t="n"/>
      <c r="G150" s="92" t="n"/>
      <c r="H150" s="92" t="n"/>
      <c r="I150" s="92" t="n"/>
      <c r="J150" s="92" t="n"/>
      <c r="K150" s="93" t="n"/>
      <c r="L150" s="134" t="n"/>
      <c r="M150" s="95" t="n"/>
      <c r="N150" s="95" t="n"/>
    </row>
    <row r="151" ht="18" customHeight="1">
      <c r="A151" s="91" t="inlineStr">
        <is>
          <t>Mar-26</t>
        </is>
      </c>
      <c r="B151" s="133" t="inlineStr">
        <is>
          <t>Hemp Superfood Blend 300g</t>
        </is>
      </c>
      <c r="C151" s="115" t="n"/>
      <c r="D151" s="99" t="n"/>
      <c r="E151" s="96" t="n"/>
      <c r="F151" s="96" t="n"/>
      <c r="G151" s="96" t="n"/>
      <c r="H151" s="96" t="n"/>
      <c r="I151" s="96" t="n"/>
      <c r="J151" s="96" t="n"/>
      <c r="K151" s="97" t="n"/>
      <c r="L151" s="135" t="n"/>
      <c r="M151" s="99" t="n"/>
      <c r="N151" s="99" t="n"/>
    </row>
    <row r="152" ht="18" customHeight="1">
      <c r="A152" s="91" t="inlineStr">
        <is>
          <t>Mar-26</t>
        </is>
      </c>
      <c r="B152" s="133" t="inlineStr">
        <is>
          <t>Hemp Omega Capsules 60s</t>
        </is>
      </c>
      <c r="C152" s="110" t="n"/>
      <c r="D152" s="95" t="n"/>
      <c r="E152" s="92" t="n"/>
      <c r="F152" s="92" t="n"/>
      <c r="G152" s="92" t="n"/>
      <c r="H152" s="92" t="n"/>
      <c r="I152" s="92" t="n"/>
      <c r="J152" s="92" t="n"/>
      <c r="K152" s="93" t="n"/>
      <c r="L152" s="134" t="n"/>
      <c r="M152" s="95" t="n"/>
      <c r="N152" s="95" t="n"/>
    </row>
    <row r="153" ht="18" customHeight="1">
      <c r="A153" s="91" t="inlineStr">
        <is>
          <t>Mar-26</t>
        </is>
      </c>
      <c r="B153" s="133" t="inlineStr">
        <is>
          <t>Hemp Infused Honey 250g</t>
        </is>
      </c>
      <c r="C153" s="115" t="n"/>
      <c r="D153" s="99" t="n"/>
      <c r="E153" s="96" t="n"/>
      <c r="F153" s="96" t="n"/>
      <c r="G153" s="96" t="n"/>
      <c r="H153" s="96" t="n"/>
      <c r="I153" s="96" t="n"/>
      <c r="J153" s="96" t="n"/>
      <c r="K153" s="97" t="n"/>
      <c r="L153" s="135" t="n"/>
      <c r="M153" s="99" t="n"/>
      <c r="N153" s="99" t="n"/>
    </row>
    <row r="154" ht="18" customHeight="1">
      <c r="A154" s="91" t="inlineStr">
        <is>
          <t>Mar-26</t>
        </is>
      </c>
      <c r="B154" s="133" t="inlineStr">
        <is>
          <t>Hemp Seed Butter 400g</t>
        </is>
      </c>
      <c r="C154" s="110" t="n"/>
      <c r="D154" s="95" t="n"/>
      <c r="E154" s="92" t="n"/>
      <c r="F154" s="92" t="n"/>
      <c r="G154" s="92" t="n"/>
      <c r="H154" s="92" t="n"/>
      <c r="I154" s="92" t="n"/>
      <c r="J154" s="92" t="n"/>
      <c r="K154" s="93" t="n"/>
      <c r="L154" s="134" t="n"/>
      <c r="M154" s="95" t="n"/>
      <c r="N154" s="95" t="n"/>
    </row>
    <row r="155" ht="18" customHeight="1">
      <c r="A155" s="91" t="inlineStr">
        <is>
          <t>Mar-26</t>
        </is>
      </c>
      <c r="B155" s="133" t="inlineStr">
        <is>
          <t>Hemp Flour 1kg</t>
        </is>
      </c>
      <c r="C155" s="115" t="n"/>
      <c r="D155" s="99" t="n"/>
      <c r="E155" s="96" t="n"/>
      <c r="F155" s="96" t="n"/>
      <c r="G155" s="96" t="n"/>
      <c r="H155" s="96" t="n"/>
      <c r="I155" s="96" t="n"/>
      <c r="J155" s="96" t="n"/>
      <c r="K155" s="97" t="n"/>
      <c r="L155" s="135" t="n"/>
      <c r="M155" s="99" t="n"/>
      <c r="N155" s="99" t="n"/>
    </row>
    <row r="156" ht="18" customHeight="1">
      <c r="A156" s="91" t="inlineStr">
        <is>
          <t>Apr-26</t>
        </is>
      </c>
      <c r="B156" s="133" t="inlineStr">
        <is>
          <t>Hemp Seed Oil 500ml</t>
        </is>
      </c>
      <c r="C156" s="110" t="n"/>
      <c r="D156" s="95" t="n"/>
      <c r="E156" s="92" t="n"/>
      <c r="F156" s="92" t="n"/>
      <c r="G156" s="92" t="n"/>
      <c r="H156" s="92" t="n"/>
      <c r="I156" s="92" t="n"/>
      <c r="J156" s="92" t="n"/>
      <c r="K156" s="93" t="n"/>
      <c r="L156" s="134" t="n"/>
      <c r="M156" s="95" t="n"/>
      <c r="N156" s="95" t="n"/>
    </row>
    <row r="157" ht="18" customHeight="1">
      <c r="A157" s="91" t="inlineStr">
        <is>
          <t>Apr-26</t>
        </is>
      </c>
      <c r="B157" s="133" t="inlineStr">
        <is>
          <t>Hemp Protein Powder 1kg</t>
        </is>
      </c>
      <c r="C157" s="115" t="n"/>
      <c r="D157" s="99" t="n"/>
      <c r="E157" s="96" t="n"/>
      <c r="F157" s="96" t="n"/>
      <c r="G157" s="96" t="n"/>
      <c r="H157" s="96" t="n"/>
      <c r="I157" s="96" t="n"/>
      <c r="J157" s="96" t="n"/>
      <c r="K157" s="97" t="n"/>
      <c r="L157" s="135" t="n"/>
      <c r="M157" s="99" t="n"/>
      <c r="N157" s="99" t="n"/>
    </row>
    <row r="158" ht="18" customHeight="1">
      <c r="A158" s="91" t="inlineStr">
        <is>
          <t>Apr-26</t>
        </is>
      </c>
      <c r="B158" s="133" t="inlineStr">
        <is>
          <t>Hemp Hearts 500g</t>
        </is>
      </c>
      <c r="C158" s="110" t="n"/>
      <c r="D158" s="95" t="n"/>
      <c r="E158" s="92" t="n"/>
      <c r="F158" s="92" t="n"/>
      <c r="G158" s="92" t="n"/>
      <c r="H158" s="92" t="n"/>
      <c r="I158" s="92" t="n"/>
      <c r="J158" s="92" t="n"/>
      <c r="K158" s="93" t="n"/>
      <c r="L158" s="134" t="n"/>
      <c r="M158" s="95" t="n"/>
      <c r="N158" s="95" t="n"/>
    </row>
    <row r="159" ht="18" customHeight="1">
      <c r="A159" s="91" t="inlineStr">
        <is>
          <t>Apr-26</t>
        </is>
      </c>
      <c r="B159" s="133" t="inlineStr">
        <is>
          <t>Hemp Granola 400g</t>
        </is>
      </c>
      <c r="C159" s="115" t="n"/>
      <c r="D159" s="99" t="n"/>
      <c r="E159" s="96" t="n"/>
      <c r="F159" s="96" t="n"/>
      <c r="G159" s="96" t="n"/>
      <c r="H159" s="96" t="n"/>
      <c r="I159" s="96" t="n"/>
      <c r="J159" s="96" t="n"/>
      <c r="K159" s="97" t="n"/>
      <c r="L159" s="135" t="n"/>
      <c r="M159" s="99" t="n"/>
      <c r="N159" s="99" t="n"/>
    </row>
    <row r="160" ht="18" customHeight="1">
      <c r="A160" s="91" t="inlineStr">
        <is>
          <t>Apr-26</t>
        </is>
      </c>
      <c r="B160" s="133" t="inlineStr">
        <is>
          <t>Hemp Energy Bar (Box 12)</t>
        </is>
      </c>
      <c r="C160" s="110" t="n"/>
      <c r="D160" s="95" t="n"/>
      <c r="E160" s="92" t="n"/>
      <c r="F160" s="92" t="n"/>
      <c r="G160" s="92" t="n"/>
      <c r="H160" s="92" t="n"/>
      <c r="I160" s="92" t="n"/>
      <c r="J160" s="92" t="n"/>
      <c r="K160" s="93" t="n"/>
      <c r="L160" s="134" t="n"/>
      <c r="M160" s="95" t="n"/>
      <c r="N160" s="95" t="n"/>
    </row>
    <row r="161" ht="18" customHeight="1">
      <c r="A161" s="91" t="inlineStr">
        <is>
          <t>Apr-26</t>
        </is>
      </c>
      <c r="B161" s="133" t="inlineStr">
        <is>
          <t>Hemp Superfood Blend 300g</t>
        </is>
      </c>
      <c r="C161" s="115" t="n"/>
      <c r="D161" s="99" t="n"/>
      <c r="E161" s="96" t="n"/>
      <c r="F161" s="96" t="n"/>
      <c r="G161" s="96" t="n"/>
      <c r="H161" s="96" t="n"/>
      <c r="I161" s="96" t="n"/>
      <c r="J161" s="96" t="n"/>
      <c r="K161" s="97" t="n"/>
      <c r="L161" s="135" t="n"/>
      <c r="M161" s="99" t="n"/>
      <c r="N161" s="99" t="n"/>
    </row>
    <row r="162" ht="18" customHeight="1">
      <c r="A162" s="91" t="inlineStr">
        <is>
          <t>Apr-26</t>
        </is>
      </c>
      <c r="B162" s="133" t="inlineStr">
        <is>
          <t>Hemp Omega Capsules 60s</t>
        </is>
      </c>
      <c r="C162" s="110" t="n"/>
      <c r="D162" s="95" t="n"/>
      <c r="E162" s="92" t="n"/>
      <c r="F162" s="92" t="n"/>
      <c r="G162" s="92" t="n"/>
      <c r="H162" s="92" t="n"/>
      <c r="I162" s="92" t="n"/>
      <c r="J162" s="92" t="n"/>
      <c r="K162" s="93" t="n"/>
      <c r="L162" s="134" t="n"/>
      <c r="M162" s="95" t="n"/>
      <c r="N162" s="95" t="n"/>
    </row>
    <row r="163" ht="18" customHeight="1">
      <c r="A163" s="91" t="inlineStr">
        <is>
          <t>Apr-26</t>
        </is>
      </c>
      <c r="B163" s="133" t="inlineStr">
        <is>
          <t>Hemp Infused Honey 250g</t>
        </is>
      </c>
      <c r="C163" s="115" t="n"/>
      <c r="D163" s="99" t="n"/>
      <c r="E163" s="96" t="n"/>
      <c r="F163" s="96" t="n"/>
      <c r="G163" s="96" t="n"/>
      <c r="H163" s="96" t="n"/>
      <c r="I163" s="96" t="n"/>
      <c r="J163" s="96" t="n"/>
      <c r="K163" s="97" t="n"/>
      <c r="L163" s="135" t="n"/>
      <c r="M163" s="99" t="n"/>
      <c r="N163" s="99" t="n"/>
    </row>
    <row r="164" ht="18" customHeight="1">
      <c r="A164" s="91" t="inlineStr">
        <is>
          <t>Apr-26</t>
        </is>
      </c>
      <c r="B164" s="133" t="inlineStr">
        <is>
          <t>Hemp Seed Butter 400g</t>
        </is>
      </c>
      <c r="C164" s="110" t="n"/>
      <c r="D164" s="95" t="n"/>
      <c r="E164" s="92" t="n"/>
      <c r="F164" s="92" t="n"/>
      <c r="G164" s="92" t="n"/>
      <c r="H164" s="92" t="n"/>
      <c r="I164" s="92" t="n"/>
      <c r="J164" s="92" t="n"/>
      <c r="K164" s="93" t="n"/>
      <c r="L164" s="134" t="n"/>
      <c r="M164" s="95" t="n"/>
      <c r="N164" s="95" t="n"/>
    </row>
    <row r="165" ht="18" customHeight="1">
      <c r="A165" s="91" t="inlineStr">
        <is>
          <t>Apr-26</t>
        </is>
      </c>
      <c r="B165" s="133" t="inlineStr">
        <is>
          <t>Hemp Flour 1kg</t>
        </is>
      </c>
      <c r="C165" s="115" t="n"/>
      <c r="D165" s="99" t="n"/>
      <c r="E165" s="96" t="n"/>
      <c r="F165" s="96" t="n"/>
      <c r="G165" s="96" t="n"/>
      <c r="H165" s="96" t="n"/>
      <c r="I165" s="96" t="n"/>
      <c r="J165" s="96" t="n"/>
      <c r="K165" s="97" t="n"/>
      <c r="L165" s="135" t="n"/>
      <c r="M165" s="99" t="n"/>
      <c r="N165" s="99" t="n"/>
    </row>
    <row r="166" ht="18" customHeight="1">
      <c r="A166" s="91" t="inlineStr">
        <is>
          <t>May-26</t>
        </is>
      </c>
      <c r="B166" s="133" t="inlineStr">
        <is>
          <t>Hemp Seed Oil 500ml</t>
        </is>
      </c>
      <c r="C166" s="110" t="n"/>
      <c r="D166" s="95" t="n"/>
      <c r="E166" s="92" t="n"/>
      <c r="F166" s="92" t="n"/>
      <c r="G166" s="92" t="n"/>
      <c r="H166" s="92" t="n"/>
      <c r="I166" s="92" t="n"/>
      <c r="J166" s="92" t="n"/>
      <c r="K166" s="93" t="n"/>
      <c r="L166" s="134" t="n"/>
      <c r="M166" s="95" t="n"/>
      <c r="N166" s="95" t="n"/>
    </row>
    <row r="167" ht="18" customHeight="1">
      <c r="A167" s="91" t="inlineStr">
        <is>
          <t>May-26</t>
        </is>
      </c>
      <c r="B167" s="133" t="inlineStr">
        <is>
          <t>Hemp Protein Powder 1kg</t>
        </is>
      </c>
      <c r="C167" s="115" t="n"/>
      <c r="D167" s="99" t="n"/>
      <c r="E167" s="96" t="n"/>
      <c r="F167" s="96" t="n"/>
      <c r="G167" s="96" t="n"/>
      <c r="H167" s="96" t="n"/>
      <c r="I167" s="96" t="n"/>
      <c r="J167" s="96" t="n"/>
      <c r="K167" s="97" t="n"/>
      <c r="L167" s="135" t="n"/>
      <c r="M167" s="99" t="n"/>
      <c r="N167" s="99" t="n"/>
    </row>
    <row r="168" ht="18" customHeight="1">
      <c r="A168" s="91" t="inlineStr">
        <is>
          <t>May-26</t>
        </is>
      </c>
      <c r="B168" s="133" t="inlineStr">
        <is>
          <t>Hemp Hearts 500g</t>
        </is>
      </c>
      <c r="C168" s="110" t="n"/>
      <c r="D168" s="95" t="n"/>
      <c r="E168" s="92" t="n"/>
      <c r="F168" s="92" t="n"/>
      <c r="G168" s="92" t="n"/>
      <c r="H168" s="92" t="n"/>
      <c r="I168" s="92" t="n"/>
      <c r="J168" s="92" t="n"/>
      <c r="K168" s="93" t="n"/>
      <c r="L168" s="134" t="n"/>
      <c r="M168" s="95" t="n"/>
      <c r="N168" s="95" t="n"/>
    </row>
    <row r="169" ht="18" customHeight="1">
      <c r="A169" s="91" t="inlineStr">
        <is>
          <t>May-26</t>
        </is>
      </c>
      <c r="B169" s="133" t="inlineStr">
        <is>
          <t>Hemp Granola 400g</t>
        </is>
      </c>
      <c r="C169" s="115" t="n"/>
      <c r="D169" s="99" t="n"/>
      <c r="E169" s="96" t="n"/>
      <c r="F169" s="96" t="n"/>
      <c r="G169" s="96" t="n"/>
      <c r="H169" s="96" t="n"/>
      <c r="I169" s="96" t="n"/>
      <c r="J169" s="96" t="n"/>
      <c r="K169" s="97" t="n"/>
      <c r="L169" s="135" t="n"/>
      <c r="M169" s="99" t="n"/>
      <c r="N169" s="99" t="n"/>
    </row>
    <row r="170" ht="18" customHeight="1">
      <c r="A170" s="91" t="inlineStr">
        <is>
          <t>May-26</t>
        </is>
      </c>
      <c r="B170" s="133" t="inlineStr">
        <is>
          <t>Hemp Energy Bar (Box 12)</t>
        </is>
      </c>
      <c r="C170" s="110" t="n"/>
      <c r="D170" s="95" t="n"/>
      <c r="E170" s="92" t="n"/>
      <c r="F170" s="92" t="n"/>
      <c r="G170" s="92" t="n"/>
      <c r="H170" s="92" t="n"/>
      <c r="I170" s="92" t="n"/>
      <c r="J170" s="92" t="n"/>
      <c r="K170" s="93" t="n"/>
      <c r="L170" s="134" t="n"/>
      <c r="M170" s="95" t="n"/>
      <c r="N170" s="95" t="n"/>
    </row>
    <row r="171" ht="18" customHeight="1">
      <c r="A171" s="91" t="inlineStr">
        <is>
          <t>May-26</t>
        </is>
      </c>
      <c r="B171" s="133" t="inlineStr">
        <is>
          <t>Hemp Superfood Blend 300g</t>
        </is>
      </c>
      <c r="C171" s="115" t="n"/>
      <c r="D171" s="99" t="n"/>
      <c r="E171" s="96" t="n"/>
      <c r="F171" s="96" t="n"/>
      <c r="G171" s="96" t="n"/>
      <c r="H171" s="96" t="n"/>
      <c r="I171" s="96" t="n"/>
      <c r="J171" s="96" t="n"/>
      <c r="K171" s="97" t="n"/>
      <c r="L171" s="135" t="n"/>
      <c r="M171" s="99" t="n"/>
      <c r="N171" s="99" t="n"/>
    </row>
    <row r="172" ht="18" customHeight="1">
      <c r="A172" s="91" t="inlineStr">
        <is>
          <t>May-26</t>
        </is>
      </c>
      <c r="B172" s="133" t="inlineStr">
        <is>
          <t>Hemp Omega Capsules 60s</t>
        </is>
      </c>
      <c r="C172" s="110" t="n"/>
      <c r="D172" s="95" t="n"/>
      <c r="E172" s="92" t="n"/>
      <c r="F172" s="92" t="n"/>
      <c r="G172" s="92" t="n"/>
      <c r="H172" s="92" t="n"/>
      <c r="I172" s="92" t="n"/>
      <c r="J172" s="92" t="n"/>
      <c r="K172" s="93" t="n"/>
      <c r="L172" s="134" t="n"/>
      <c r="M172" s="95" t="n"/>
      <c r="N172" s="95" t="n"/>
    </row>
    <row r="173" ht="18" customHeight="1">
      <c r="A173" s="91" t="inlineStr">
        <is>
          <t>May-26</t>
        </is>
      </c>
      <c r="B173" s="133" t="inlineStr">
        <is>
          <t>Hemp Infused Honey 250g</t>
        </is>
      </c>
      <c r="C173" s="115" t="n"/>
      <c r="D173" s="99" t="n"/>
      <c r="E173" s="96" t="n"/>
      <c r="F173" s="96" t="n"/>
      <c r="G173" s="96" t="n"/>
      <c r="H173" s="96" t="n"/>
      <c r="I173" s="96" t="n"/>
      <c r="J173" s="96" t="n"/>
      <c r="K173" s="97" t="n"/>
      <c r="L173" s="135" t="n"/>
      <c r="M173" s="99" t="n"/>
      <c r="N173" s="99" t="n"/>
    </row>
    <row r="174" ht="18" customHeight="1">
      <c r="A174" s="91" t="inlineStr">
        <is>
          <t>May-26</t>
        </is>
      </c>
      <c r="B174" s="133" t="inlineStr">
        <is>
          <t>Hemp Seed Butter 400g</t>
        </is>
      </c>
      <c r="C174" s="110" t="n"/>
      <c r="D174" s="95" t="n"/>
      <c r="E174" s="92" t="n"/>
      <c r="F174" s="92" t="n"/>
      <c r="G174" s="92" t="n"/>
      <c r="H174" s="92" t="n"/>
      <c r="I174" s="92" t="n"/>
      <c r="J174" s="92" t="n"/>
      <c r="K174" s="93" t="n"/>
      <c r="L174" s="134" t="n"/>
      <c r="M174" s="95" t="n"/>
      <c r="N174" s="95" t="n"/>
    </row>
    <row r="175" ht="18" customHeight="1">
      <c r="A175" s="91" t="inlineStr">
        <is>
          <t>May-26</t>
        </is>
      </c>
      <c r="B175" s="133" t="inlineStr">
        <is>
          <t>Hemp Flour 1kg</t>
        </is>
      </c>
      <c r="C175" s="115" t="n"/>
      <c r="D175" s="99" t="n"/>
      <c r="E175" s="96" t="n"/>
      <c r="F175" s="96" t="n"/>
      <c r="G175" s="96" t="n"/>
      <c r="H175" s="96" t="n"/>
      <c r="I175" s="96" t="n"/>
      <c r="J175" s="96" t="n"/>
      <c r="K175" s="97" t="n"/>
      <c r="L175" s="135" t="n"/>
      <c r="M175" s="99" t="n"/>
      <c r="N175" s="99" t="n"/>
    </row>
    <row r="176" ht="18" customHeight="1">
      <c r="A176" s="91" t="inlineStr">
        <is>
          <t>Jun-26</t>
        </is>
      </c>
      <c r="B176" s="133" t="inlineStr">
        <is>
          <t>Hemp Seed Oil 500ml</t>
        </is>
      </c>
      <c r="C176" s="110" t="n"/>
      <c r="D176" s="95" t="n"/>
      <c r="E176" s="92" t="n"/>
      <c r="F176" s="92" t="n"/>
      <c r="G176" s="92" t="n"/>
      <c r="H176" s="92" t="n"/>
      <c r="I176" s="92" t="n"/>
      <c r="J176" s="92" t="n"/>
      <c r="K176" s="93" t="n"/>
      <c r="L176" s="134" t="n"/>
      <c r="M176" s="95" t="n"/>
      <c r="N176" s="95" t="n"/>
    </row>
    <row r="177" ht="18" customHeight="1">
      <c r="A177" s="91" t="inlineStr">
        <is>
          <t>Jun-26</t>
        </is>
      </c>
      <c r="B177" s="133" t="inlineStr">
        <is>
          <t>Hemp Protein Powder 1kg</t>
        </is>
      </c>
      <c r="C177" s="115" t="n"/>
      <c r="D177" s="99" t="n"/>
      <c r="E177" s="96" t="n"/>
      <c r="F177" s="96" t="n"/>
      <c r="G177" s="96" t="n"/>
      <c r="H177" s="96" t="n"/>
      <c r="I177" s="96" t="n"/>
      <c r="J177" s="96" t="n"/>
      <c r="K177" s="97" t="n"/>
      <c r="L177" s="135" t="n"/>
      <c r="M177" s="99" t="n"/>
      <c r="N177" s="99" t="n"/>
    </row>
    <row r="178" ht="18" customHeight="1">
      <c r="A178" s="91" t="inlineStr">
        <is>
          <t>Jun-26</t>
        </is>
      </c>
      <c r="B178" s="133" t="inlineStr">
        <is>
          <t>Hemp Hearts 500g</t>
        </is>
      </c>
      <c r="C178" s="110" t="n"/>
      <c r="D178" s="95" t="n"/>
      <c r="E178" s="92" t="n"/>
      <c r="F178" s="92" t="n"/>
      <c r="G178" s="92" t="n"/>
      <c r="H178" s="92" t="n"/>
      <c r="I178" s="92" t="n"/>
      <c r="J178" s="92" t="n"/>
      <c r="K178" s="93" t="n"/>
      <c r="L178" s="134" t="n"/>
      <c r="M178" s="95" t="n"/>
      <c r="N178" s="95" t="n"/>
    </row>
    <row r="179" ht="18" customHeight="1">
      <c r="A179" s="91" t="inlineStr">
        <is>
          <t>Jun-26</t>
        </is>
      </c>
      <c r="B179" s="133" t="inlineStr">
        <is>
          <t>Hemp Granola 400g</t>
        </is>
      </c>
      <c r="C179" s="115" t="n"/>
      <c r="D179" s="99" t="n"/>
      <c r="E179" s="96" t="n"/>
      <c r="F179" s="96" t="n"/>
      <c r="G179" s="96" t="n"/>
      <c r="H179" s="96" t="n"/>
      <c r="I179" s="96" t="n"/>
      <c r="J179" s="96" t="n"/>
      <c r="K179" s="97" t="n"/>
      <c r="L179" s="135" t="n"/>
      <c r="M179" s="99" t="n"/>
      <c r="N179" s="99" t="n"/>
    </row>
    <row r="180" ht="18" customHeight="1">
      <c r="A180" s="91" t="inlineStr">
        <is>
          <t>Jun-26</t>
        </is>
      </c>
      <c r="B180" s="133" t="inlineStr">
        <is>
          <t>Hemp Energy Bar (Box 12)</t>
        </is>
      </c>
      <c r="C180" s="110" t="n"/>
      <c r="D180" s="95" t="n"/>
      <c r="E180" s="92" t="n"/>
      <c r="F180" s="92" t="n"/>
      <c r="G180" s="92" t="n"/>
      <c r="H180" s="92" t="n"/>
      <c r="I180" s="92" t="n"/>
      <c r="J180" s="92" t="n"/>
      <c r="K180" s="93" t="n"/>
      <c r="L180" s="134" t="n"/>
      <c r="M180" s="95" t="n"/>
      <c r="N180" s="95" t="n"/>
    </row>
    <row r="181" ht="18" customHeight="1">
      <c r="A181" s="91" t="inlineStr">
        <is>
          <t>Jun-26</t>
        </is>
      </c>
      <c r="B181" s="133" t="inlineStr">
        <is>
          <t>Hemp Superfood Blend 300g</t>
        </is>
      </c>
      <c r="C181" s="115" t="n"/>
      <c r="D181" s="99" t="n"/>
      <c r="E181" s="96" t="n"/>
      <c r="F181" s="96" t="n"/>
      <c r="G181" s="96" t="n"/>
      <c r="H181" s="96" t="n"/>
      <c r="I181" s="96" t="n"/>
      <c r="J181" s="96" t="n"/>
      <c r="K181" s="97" t="n"/>
      <c r="L181" s="135" t="n"/>
      <c r="M181" s="99" t="n"/>
      <c r="N181" s="99" t="n"/>
    </row>
    <row r="182" ht="18" customHeight="1">
      <c r="A182" s="91" t="inlineStr">
        <is>
          <t>Jun-26</t>
        </is>
      </c>
      <c r="B182" s="133" t="inlineStr">
        <is>
          <t>Hemp Omega Capsules 60s</t>
        </is>
      </c>
      <c r="C182" s="110" t="n"/>
      <c r="D182" s="95" t="n"/>
      <c r="E182" s="92" t="n"/>
      <c r="F182" s="92" t="n"/>
      <c r="G182" s="92" t="n"/>
      <c r="H182" s="92" t="n"/>
      <c r="I182" s="92" t="n"/>
      <c r="J182" s="92" t="n"/>
      <c r="K182" s="93" t="n"/>
      <c r="L182" s="134" t="n"/>
      <c r="M182" s="95" t="n"/>
      <c r="N182" s="95" t="n"/>
    </row>
    <row r="183" ht="18" customHeight="1">
      <c r="A183" s="91" t="inlineStr">
        <is>
          <t>Jun-26</t>
        </is>
      </c>
      <c r="B183" s="133" t="inlineStr">
        <is>
          <t>Hemp Infused Honey 250g</t>
        </is>
      </c>
      <c r="C183" s="115" t="n"/>
      <c r="D183" s="99" t="n"/>
      <c r="E183" s="96" t="n"/>
      <c r="F183" s="96" t="n"/>
      <c r="G183" s="96" t="n"/>
      <c r="H183" s="96" t="n"/>
      <c r="I183" s="96" t="n"/>
      <c r="J183" s="96" t="n"/>
      <c r="K183" s="97" t="n"/>
      <c r="L183" s="135" t="n"/>
      <c r="M183" s="99" t="n"/>
      <c r="N183" s="99" t="n"/>
    </row>
    <row r="184" ht="18" customHeight="1">
      <c r="A184" s="91" t="inlineStr">
        <is>
          <t>Jun-26</t>
        </is>
      </c>
      <c r="B184" s="133" t="inlineStr">
        <is>
          <t>Hemp Seed Butter 400g</t>
        </is>
      </c>
      <c r="C184" s="110" t="n"/>
      <c r="D184" s="95" t="n"/>
      <c r="E184" s="92" t="n"/>
      <c r="F184" s="92" t="n"/>
      <c r="G184" s="92" t="n"/>
      <c r="H184" s="92" t="n"/>
      <c r="I184" s="92" t="n"/>
      <c r="J184" s="92" t="n"/>
      <c r="K184" s="93" t="n"/>
      <c r="L184" s="134" t="n"/>
      <c r="M184" s="95" t="n"/>
      <c r="N184" s="95" t="n"/>
    </row>
    <row r="185" ht="18" customHeight="1">
      <c r="A185" s="91" t="inlineStr">
        <is>
          <t>Jun-26</t>
        </is>
      </c>
      <c r="B185" s="133" t="inlineStr">
        <is>
          <t>Hemp Flour 1kg</t>
        </is>
      </c>
      <c r="C185" s="115" t="n"/>
      <c r="D185" s="99" t="n"/>
      <c r="E185" s="96" t="n"/>
      <c r="F185" s="96" t="n"/>
      <c r="G185" s="96" t="n"/>
      <c r="H185" s="96" t="n"/>
      <c r="I185" s="96" t="n"/>
      <c r="J185" s="96" t="n"/>
      <c r="K185" s="97" t="n"/>
      <c r="L185" s="135" t="n"/>
      <c r="M185" s="99" t="n"/>
      <c r="N185" s="99" t="n"/>
    </row>
    <row r="186" ht="18" customHeight="1">
      <c r="A186" s="91" t="inlineStr">
        <is>
          <t>Jul-26</t>
        </is>
      </c>
      <c r="B186" s="133" t="inlineStr">
        <is>
          <t>Hemp Seed Oil 500ml</t>
        </is>
      </c>
      <c r="C186" s="110" t="n"/>
      <c r="D186" s="95" t="n"/>
      <c r="E186" s="92" t="n"/>
      <c r="F186" s="92" t="n"/>
      <c r="G186" s="92" t="n"/>
      <c r="H186" s="92" t="n"/>
      <c r="I186" s="92" t="n"/>
      <c r="J186" s="92" t="n"/>
      <c r="K186" s="93" t="n"/>
      <c r="L186" s="134" t="n"/>
      <c r="M186" s="95" t="n"/>
      <c r="N186" s="95" t="n"/>
    </row>
    <row r="187" ht="18" customHeight="1">
      <c r="A187" s="91" t="inlineStr">
        <is>
          <t>Jul-26</t>
        </is>
      </c>
      <c r="B187" s="133" t="inlineStr">
        <is>
          <t>Hemp Protein Powder 1kg</t>
        </is>
      </c>
      <c r="C187" s="115" t="n"/>
      <c r="D187" s="99" t="n"/>
      <c r="E187" s="96" t="n"/>
      <c r="F187" s="96" t="n"/>
      <c r="G187" s="96" t="n"/>
      <c r="H187" s="96" t="n"/>
      <c r="I187" s="96" t="n"/>
      <c r="J187" s="96" t="n"/>
      <c r="K187" s="97" t="n"/>
      <c r="L187" s="135" t="n"/>
      <c r="M187" s="99" t="n"/>
      <c r="N187" s="99" t="n"/>
    </row>
    <row r="188" ht="18" customHeight="1">
      <c r="A188" s="91" t="inlineStr">
        <is>
          <t>Jul-26</t>
        </is>
      </c>
      <c r="B188" s="133" t="inlineStr">
        <is>
          <t>Hemp Hearts 500g</t>
        </is>
      </c>
      <c r="C188" s="110" t="n"/>
      <c r="D188" s="95" t="n"/>
      <c r="E188" s="92" t="n"/>
      <c r="F188" s="92" t="n"/>
      <c r="G188" s="92" t="n"/>
      <c r="H188" s="92" t="n"/>
      <c r="I188" s="92" t="n"/>
      <c r="J188" s="92" t="n"/>
      <c r="K188" s="93" t="n"/>
      <c r="L188" s="134" t="n"/>
      <c r="M188" s="95" t="n"/>
      <c r="N188" s="95" t="n"/>
    </row>
    <row r="189" ht="18" customHeight="1">
      <c r="A189" s="91" t="inlineStr">
        <is>
          <t>Jul-26</t>
        </is>
      </c>
      <c r="B189" s="133" t="inlineStr">
        <is>
          <t>Hemp Granola 400g</t>
        </is>
      </c>
      <c r="C189" s="115" t="n"/>
      <c r="D189" s="99" t="n"/>
      <c r="E189" s="96" t="n"/>
      <c r="F189" s="96" t="n"/>
      <c r="G189" s="96" t="n"/>
      <c r="H189" s="96" t="n"/>
      <c r="I189" s="96" t="n"/>
      <c r="J189" s="96" t="n"/>
      <c r="K189" s="97" t="n"/>
      <c r="L189" s="135" t="n"/>
      <c r="M189" s="99" t="n"/>
      <c r="N189" s="99" t="n"/>
    </row>
    <row r="190" ht="18" customHeight="1">
      <c r="A190" s="91" t="inlineStr">
        <is>
          <t>Jul-26</t>
        </is>
      </c>
      <c r="B190" s="133" t="inlineStr">
        <is>
          <t>Hemp Energy Bar (Box 12)</t>
        </is>
      </c>
      <c r="C190" s="110" t="n"/>
      <c r="D190" s="95" t="n"/>
      <c r="E190" s="92" t="n"/>
      <c r="F190" s="92" t="n"/>
      <c r="G190" s="92" t="n"/>
      <c r="H190" s="92" t="n"/>
      <c r="I190" s="92" t="n"/>
      <c r="J190" s="92" t="n"/>
      <c r="K190" s="93" t="n"/>
      <c r="L190" s="134" t="n"/>
      <c r="M190" s="95" t="n"/>
      <c r="N190" s="95" t="n"/>
    </row>
    <row r="191" ht="18" customHeight="1">
      <c r="A191" s="91" t="inlineStr">
        <is>
          <t>Jul-26</t>
        </is>
      </c>
      <c r="B191" s="133" t="inlineStr">
        <is>
          <t>Hemp Superfood Blend 300g</t>
        </is>
      </c>
      <c r="C191" s="115" t="n"/>
      <c r="D191" s="99" t="n"/>
      <c r="E191" s="96" t="n"/>
      <c r="F191" s="96" t="n"/>
      <c r="G191" s="96" t="n"/>
      <c r="H191" s="96" t="n"/>
      <c r="I191" s="96" t="n"/>
      <c r="J191" s="96" t="n"/>
      <c r="K191" s="97" t="n"/>
      <c r="L191" s="135" t="n"/>
      <c r="M191" s="99" t="n"/>
      <c r="N191" s="99" t="n"/>
    </row>
    <row r="192" ht="18" customHeight="1">
      <c r="A192" s="91" t="inlineStr">
        <is>
          <t>Jul-26</t>
        </is>
      </c>
      <c r="B192" s="133" t="inlineStr">
        <is>
          <t>Hemp Omega Capsules 60s</t>
        </is>
      </c>
      <c r="C192" s="110" t="n"/>
      <c r="D192" s="95" t="n"/>
      <c r="E192" s="92" t="n"/>
      <c r="F192" s="92" t="n"/>
      <c r="G192" s="92" t="n"/>
      <c r="H192" s="92" t="n"/>
      <c r="I192" s="92" t="n"/>
      <c r="J192" s="92" t="n"/>
      <c r="K192" s="93" t="n"/>
      <c r="L192" s="134" t="n"/>
      <c r="M192" s="95" t="n"/>
      <c r="N192" s="95" t="n"/>
    </row>
    <row r="193" ht="18" customHeight="1">
      <c r="A193" s="91" t="inlineStr">
        <is>
          <t>Jul-26</t>
        </is>
      </c>
      <c r="B193" s="133" t="inlineStr">
        <is>
          <t>Hemp Infused Honey 250g</t>
        </is>
      </c>
      <c r="C193" s="115" t="n"/>
      <c r="D193" s="99" t="n"/>
      <c r="E193" s="96" t="n"/>
      <c r="F193" s="96" t="n"/>
      <c r="G193" s="96" t="n"/>
      <c r="H193" s="96" t="n"/>
      <c r="I193" s="96" t="n"/>
      <c r="J193" s="96" t="n"/>
      <c r="K193" s="97" t="n"/>
      <c r="L193" s="135" t="n"/>
      <c r="M193" s="99" t="n"/>
      <c r="N193" s="99" t="n"/>
    </row>
    <row r="194" ht="18" customHeight="1">
      <c r="A194" s="91" t="inlineStr">
        <is>
          <t>Jul-26</t>
        </is>
      </c>
      <c r="B194" s="133" t="inlineStr">
        <is>
          <t>Hemp Seed Butter 400g</t>
        </is>
      </c>
      <c r="C194" s="110" t="n"/>
      <c r="D194" s="95" t="n"/>
      <c r="E194" s="92" t="n"/>
      <c r="F194" s="92" t="n"/>
      <c r="G194" s="92" t="n"/>
      <c r="H194" s="92" t="n"/>
      <c r="I194" s="92" t="n"/>
      <c r="J194" s="92" t="n"/>
      <c r="K194" s="93" t="n"/>
      <c r="L194" s="134" t="n"/>
      <c r="M194" s="95" t="n"/>
      <c r="N194" s="95" t="n"/>
    </row>
    <row r="195" ht="18" customHeight="1">
      <c r="A195" s="91" t="inlineStr">
        <is>
          <t>Jul-26</t>
        </is>
      </c>
      <c r="B195" s="133" t="inlineStr">
        <is>
          <t>Hemp Flour 1kg</t>
        </is>
      </c>
      <c r="C195" s="115" t="n"/>
      <c r="D195" s="99" t="n"/>
      <c r="E195" s="96" t="n"/>
      <c r="F195" s="96" t="n"/>
      <c r="G195" s="96" t="n"/>
      <c r="H195" s="96" t="n"/>
      <c r="I195" s="96" t="n"/>
      <c r="J195" s="96" t="n"/>
      <c r="K195" s="97" t="n"/>
      <c r="L195" s="135" t="n"/>
      <c r="M195" s="99" t="n"/>
      <c r="N195" s="99" t="n"/>
    </row>
    <row r="196" ht="18" customHeight="1">
      <c r="A196" s="91" t="inlineStr">
        <is>
          <t>Aug-26</t>
        </is>
      </c>
      <c r="B196" s="133" t="inlineStr">
        <is>
          <t>Hemp Seed Oil 500ml</t>
        </is>
      </c>
      <c r="C196" s="110" t="n"/>
      <c r="D196" s="95" t="n"/>
      <c r="E196" s="92" t="n"/>
      <c r="F196" s="92" t="n"/>
      <c r="G196" s="92" t="n"/>
      <c r="H196" s="92" t="n"/>
      <c r="I196" s="92" t="n"/>
      <c r="J196" s="92" t="n"/>
      <c r="K196" s="93" t="n"/>
      <c r="L196" s="134" t="n"/>
      <c r="M196" s="95" t="n"/>
      <c r="N196" s="95" t="n"/>
    </row>
    <row r="197" ht="18" customHeight="1">
      <c r="A197" s="91" t="inlineStr">
        <is>
          <t>Aug-26</t>
        </is>
      </c>
      <c r="B197" s="133" t="inlineStr">
        <is>
          <t>Hemp Protein Powder 1kg</t>
        </is>
      </c>
      <c r="C197" s="115" t="n"/>
      <c r="D197" s="99" t="n"/>
      <c r="E197" s="96" t="n"/>
      <c r="F197" s="96" t="n"/>
      <c r="G197" s="96" t="n"/>
      <c r="H197" s="96" t="n"/>
      <c r="I197" s="96" t="n"/>
      <c r="J197" s="96" t="n"/>
      <c r="K197" s="97" t="n"/>
      <c r="L197" s="135" t="n"/>
      <c r="M197" s="99" t="n"/>
      <c r="N197" s="99" t="n"/>
    </row>
    <row r="198" ht="18" customHeight="1">
      <c r="A198" s="91" t="inlineStr">
        <is>
          <t>Aug-26</t>
        </is>
      </c>
      <c r="B198" s="133" t="inlineStr">
        <is>
          <t>Hemp Hearts 500g</t>
        </is>
      </c>
      <c r="C198" s="110" t="n"/>
      <c r="D198" s="95" t="n"/>
      <c r="E198" s="92" t="n"/>
      <c r="F198" s="92" t="n"/>
      <c r="G198" s="92" t="n"/>
      <c r="H198" s="92" t="n"/>
      <c r="I198" s="92" t="n"/>
      <c r="J198" s="92" t="n"/>
      <c r="K198" s="93" t="n"/>
      <c r="L198" s="134" t="n"/>
      <c r="M198" s="95" t="n"/>
      <c r="N198" s="95" t="n"/>
    </row>
    <row r="199" ht="18" customHeight="1">
      <c r="A199" s="91" t="inlineStr">
        <is>
          <t>Aug-26</t>
        </is>
      </c>
      <c r="B199" s="133" t="inlineStr">
        <is>
          <t>Hemp Granola 400g</t>
        </is>
      </c>
      <c r="C199" s="115" t="n"/>
      <c r="D199" s="99" t="n"/>
      <c r="E199" s="96" t="n"/>
      <c r="F199" s="96" t="n"/>
      <c r="G199" s="96" t="n"/>
      <c r="H199" s="96" t="n"/>
      <c r="I199" s="96" t="n"/>
      <c r="J199" s="96" t="n"/>
      <c r="K199" s="97" t="n"/>
      <c r="L199" s="135" t="n"/>
      <c r="M199" s="99" t="n"/>
      <c r="N199" s="99" t="n"/>
    </row>
    <row r="200" ht="18" customHeight="1">
      <c r="A200" s="91" t="inlineStr">
        <is>
          <t>Aug-26</t>
        </is>
      </c>
      <c r="B200" s="133" t="inlineStr">
        <is>
          <t>Hemp Energy Bar (Box 12)</t>
        </is>
      </c>
      <c r="C200" s="110" t="n"/>
      <c r="D200" s="95" t="n"/>
      <c r="E200" s="92" t="n"/>
      <c r="F200" s="92" t="n"/>
      <c r="G200" s="92" t="n"/>
      <c r="H200" s="92" t="n"/>
      <c r="I200" s="92" t="n"/>
      <c r="J200" s="92" t="n"/>
      <c r="K200" s="93" t="n"/>
      <c r="L200" s="134" t="n"/>
      <c r="M200" s="95" t="n"/>
      <c r="N200" s="95" t="n"/>
    </row>
    <row r="201" ht="18" customHeight="1">
      <c r="A201" s="91" t="inlineStr">
        <is>
          <t>Aug-26</t>
        </is>
      </c>
      <c r="B201" s="133" t="inlineStr">
        <is>
          <t>Hemp Superfood Blend 300g</t>
        </is>
      </c>
      <c r="C201" s="115" t="n"/>
      <c r="D201" s="99" t="n"/>
      <c r="E201" s="96" t="n"/>
      <c r="F201" s="96" t="n"/>
      <c r="G201" s="96" t="n"/>
      <c r="H201" s="96" t="n"/>
      <c r="I201" s="96" t="n"/>
      <c r="J201" s="96" t="n"/>
      <c r="K201" s="97" t="n"/>
      <c r="L201" s="135" t="n"/>
      <c r="M201" s="99" t="n"/>
      <c r="N201" s="99" t="n"/>
    </row>
    <row r="202" ht="18" customHeight="1">
      <c r="A202" s="91" t="inlineStr">
        <is>
          <t>Aug-26</t>
        </is>
      </c>
      <c r="B202" s="133" t="inlineStr">
        <is>
          <t>Hemp Omega Capsules 60s</t>
        </is>
      </c>
      <c r="C202" s="110" t="n"/>
      <c r="D202" s="95" t="n"/>
      <c r="E202" s="92" t="n"/>
      <c r="F202" s="92" t="n"/>
      <c r="G202" s="92" t="n"/>
      <c r="H202" s="92" t="n"/>
      <c r="I202" s="92" t="n"/>
      <c r="J202" s="92" t="n"/>
      <c r="K202" s="93" t="n"/>
      <c r="L202" s="134" t="n"/>
      <c r="M202" s="95" t="n"/>
      <c r="N202" s="95" t="n"/>
    </row>
    <row r="203" ht="18" customHeight="1">
      <c r="A203" s="91" t="inlineStr">
        <is>
          <t>Aug-26</t>
        </is>
      </c>
      <c r="B203" s="133" t="inlineStr">
        <is>
          <t>Hemp Infused Honey 250g</t>
        </is>
      </c>
      <c r="C203" s="115" t="n"/>
      <c r="D203" s="99" t="n"/>
      <c r="E203" s="96" t="n"/>
      <c r="F203" s="96" t="n"/>
      <c r="G203" s="96" t="n"/>
      <c r="H203" s="96" t="n"/>
      <c r="I203" s="96" t="n"/>
      <c r="J203" s="96" t="n"/>
      <c r="K203" s="97" t="n"/>
      <c r="L203" s="135" t="n"/>
      <c r="M203" s="99" t="n"/>
      <c r="N203" s="99" t="n"/>
    </row>
    <row r="204" ht="18" customHeight="1">
      <c r="A204" s="91" t="inlineStr">
        <is>
          <t>Aug-26</t>
        </is>
      </c>
      <c r="B204" s="133" t="inlineStr">
        <is>
          <t>Hemp Seed Butter 400g</t>
        </is>
      </c>
      <c r="C204" s="110" t="n"/>
      <c r="D204" s="95" t="n"/>
      <c r="E204" s="92" t="n"/>
      <c r="F204" s="92" t="n"/>
      <c r="G204" s="92" t="n"/>
      <c r="H204" s="92" t="n"/>
      <c r="I204" s="92" t="n"/>
      <c r="J204" s="92" t="n"/>
      <c r="K204" s="93" t="n"/>
      <c r="L204" s="134" t="n"/>
      <c r="M204" s="95" t="n"/>
      <c r="N204" s="95" t="n"/>
    </row>
    <row r="205" ht="18" customHeight="1">
      <c r="A205" s="91" t="inlineStr">
        <is>
          <t>Aug-26</t>
        </is>
      </c>
      <c r="B205" s="133" t="inlineStr">
        <is>
          <t>Hemp Flour 1kg</t>
        </is>
      </c>
      <c r="C205" s="115" t="n"/>
      <c r="D205" s="99" t="n"/>
      <c r="E205" s="96" t="n"/>
      <c r="F205" s="96" t="n"/>
      <c r="G205" s="96" t="n"/>
      <c r="H205" s="96" t="n"/>
      <c r="I205" s="96" t="n"/>
      <c r="J205" s="96" t="n"/>
      <c r="K205" s="97" t="n"/>
      <c r="L205" s="135" t="n"/>
      <c r="M205" s="99" t="n"/>
      <c r="N205" s="99" t="n"/>
    </row>
    <row r="206" ht="18" customHeight="1">
      <c r="A206" s="91" t="inlineStr">
        <is>
          <t>Sep-26</t>
        </is>
      </c>
      <c r="B206" s="133" t="inlineStr">
        <is>
          <t>Hemp Seed Oil 500ml</t>
        </is>
      </c>
      <c r="C206" s="110" t="n"/>
      <c r="D206" s="95" t="n"/>
      <c r="E206" s="92" t="n"/>
      <c r="F206" s="92" t="n"/>
      <c r="G206" s="92" t="n"/>
      <c r="H206" s="92" t="n"/>
      <c r="I206" s="92" t="n"/>
      <c r="J206" s="92" t="n"/>
      <c r="K206" s="93" t="n"/>
      <c r="L206" s="134" t="n"/>
      <c r="M206" s="95" t="n"/>
      <c r="N206" s="95" t="n"/>
    </row>
    <row r="207" ht="18" customHeight="1">
      <c r="A207" s="91" t="inlineStr">
        <is>
          <t>Sep-26</t>
        </is>
      </c>
      <c r="B207" s="133" t="inlineStr">
        <is>
          <t>Hemp Protein Powder 1kg</t>
        </is>
      </c>
      <c r="C207" s="115" t="n"/>
      <c r="D207" s="99" t="n"/>
      <c r="E207" s="96" t="n"/>
      <c r="F207" s="96" t="n"/>
      <c r="G207" s="96" t="n"/>
      <c r="H207" s="96" t="n"/>
      <c r="I207" s="96" t="n"/>
      <c r="J207" s="96" t="n"/>
      <c r="K207" s="97" t="n"/>
      <c r="L207" s="135" t="n"/>
      <c r="M207" s="99" t="n"/>
      <c r="N207" s="99" t="n"/>
    </row>
    <row r="208" ht="18" customHeight="1">
      <c r="A208" s="91" t="inlineStr">
        <is>
          <t>Sep-26</t>
        </is>
      </c>
      <c r="B208" s="133" t="inlineStr">
        <is>
          <t>Hemp Hearts 500g</t>
        </is>
      </c>
      <c r="C208" s="110" t="n"/>
      <c r="D208" s="95" t="n"/>
      <c r="E208" s="92" t="n"/>
      <c r="F208" s="92" t="n"/>
      <c r="G208" s="92" t="n"/>
      <c r="H208" s="92" t="n"/>
      <c r="I208" s="92" t="n"/>
      <c r="J208" s="92" t="n"/>
      <c r="K208" s="93" t="n"/>
      <c r="L208" s="134" t="n"/>
      <c r="M208" s="95" t="n"/>
      <c r="N208" s="95" t="n"/>
    </row>
    <row r="209" ht="18" customHeight="1">
      <c r="A209" s="91" t="inlineStr">
        <is>
          <t>Sep-26</t>
        </is>
      </c>
      <c r="B209" s="133" t="inlineStr">
        <is>
          <t>Hemp Granola 400g</t>
        </is>
      </c>
      <c r="C209" s="115" t="n"/>
      <c r="D209" s="99" t="n"/>
      <c r="E209" s="96" t="n"/>
      <c r="F209" s="96" t="n"/>
      <c r="G209" s="96" t="n"/>
      <c r="H209" s="96" t="n"/>
      <c r="I209" s="96" t="n"/>
      <c r="J209" s="96" t="n"/>
      <c r="K209" s="97" t="n"/>
      <c r="L209" s="135" t="n"/>
      <c r="M209" s="99" t="n"/>
      <c r="N209" s="99" t="n"/>
    </row>
    <row r="210" ht="18" customHeight="1">
      <c r="A210" s="91" t="inlineStr">
        <is>
          <t>Sep-26</t>
        </is>
      </c>
      <c r="B210" s="133" t="inlineStr">
        <is>
          <t>Hemp Energy Bar (Box 12)</t>
        </is>
      </c>
      <c r="C210" s="110" t="n"/>
      <c r="D210" s="95" t="n"/>
      <c r="E210" s="92" t="n"/>
      <c r="F210" s="92" t="n"/>
      <c r="G210" s="92" t="n"/>
      <c r="H210" s="92" t="n"/>
      <c r="I210" s="92" t="n"/>
      <c r="J210" s="92" t="n"/>
      <c r="K210" s="93" t="n"/>
      <c r="L210" s="134" t="n"/>
      <c r="M210" s="95" t="n"/>
      <c r="N210" s="95" t="n"/>
    </row>
    <row r="211" ht="18" customHeight="1">
      <c r="A211" s="91" t="inlineStr">
        <is>
          <t>Sep-26</t>
        </is>
      </c>
      <c r="B211" s="133" t="inlineStr">
        <is>
          <t>Hemp Superfood Blend 300g</t>
        </is>
      </c>
      <c r="C211" s="115" t="n"/>
      <c r="D211" s="99" t="n"/>
      <c r="E211" s="96" t="n"/>
      <c r="F211" s="96" t="n"/>
      <c r="G211" s="96" t="n"/>
      <c r="H211" s="96" t="n"/>
      <c r="I211" s="96" t="n"/>
      <c r="J211" s="96" t="n"/>
      <c r="K211" s="97" t="n"/>
      <c r="L211" s="135" t="n"/>
      <c r="M211" s="99" t="n"/>
      <c r="N211" s="99" t="n"/>
    </row>
    <row r="212" ht="18" customHeight="1">
      <c r="A212" s="91" t="inlineStr">
        <is>
          <t>Sep-26</t>
        </is>
      </c>
      <c r="B212" s="133" t="inlineStr">
        <is>
          <t>Hemp Omega Capsules 60s</t>
        </is>
      </c>
      <c r="C212" s="110" t="n"/>
      <c r="D212" s="95" t="n"/>
      <c r="E212" s="92" t="n"/>
      <c r="F212" s="92" t="n"/>
      <c r="G212" s="92" t="n"/>
      <c r="H212" s="92" t="n"/>
      <c r="I212" s="92" t="n"/>
      <c r="J212" s="92" t="n"/>
      <c r="K212" s="93" t="n"/>
      <c r="L212" s="134" t="n"/>
      <c r="M212" s="95" t="n"/>
      <c r="N212" s="95" t="n"/>
    </row>
    <row r="213" ht="18" customHeight="1">
      <c r="A213" s="91" t="inlineStr">
        <is>
          <t>Sep-26</t>
        </is>
      </c>
      <c r="B213" s="133" t="inlineStr">
        <is>
          <t>Hemp Infused Honey 250g</t>
        </is>
      </c>
      <c r="C213" s="115" t="n"/>
      <c r="D213" s="99" t="n"/>
      <c r="E213" s="96" t="n"/>
      <c r="F213" s="96" t="n"/>
      <c r="G213" s="96" t="n"/>
      <c r="H213" s="96" t="n"/>
      <c r="I213" s="96" t="n"/>
      <c r="J213" s="96" t="n"/>
      <c r="K213" s="97" t="n"/>
      <c r="L213" s="135" t="n"/>
      <c r="M213" s="99" t="n"/>
      <c r="N213" s="99" t="n"/>
    </row>
    <row r="214" ht="18" customHeight="1">
      <c r="A214" s="91" t="inlineStr">
        <is>
          <t>Sep-26</t>
        </is>
      </c>
      <c r="B214" s="133" t="inlineStr">
        <is>
          <t>Hemp Seed Butter 400g</t>
        </is>
      </c>
      <c r="C214" s="110" t="n"/>
      <c r="D214" s="95" t="n"/>
      <c r="E214" s="92" t="n"/>
      <c r="F214" s="92" t="n"/>
      <c r="G214" s="92" t="n"/>
      <c r="H214" s="92" t="n"/>
      <c r="I214" s="92" t="n"/>
      <c r="J214" s="92" t="n"/>
      <c r="K214" s="93" t="n"/>
      <c r="L214" s="134" t="n"/>
      <c r="M214" s="95" t="n"/>
      <c r="N214" s="95" t="n"/>
    </row>
    <row r="215" ht="18" customHeight="1">
      <c r="A215" s="91" t="inlineStr">
        <is>
          <t>Sep-26</t>
        </is>
      </c>
      <c r="B215" s="133" t="inlineStr">
        <is>
          <t>Hemp Flour 1kg</t>
        </is>
      </c>
      <c r="C215" s="115" t="n"/>
      <c r="D215" s="99" t="n"/>
      <c r="E215" s="96" t="n"/>
      <c r="F215" s="96" t="n"/>
      <c r="G215" s="96" t="n"/>
      <c r="H215" s="96" t="n"/>
      <c r="I215" s="96" t="n"/>
      <c r="J215" s="96" t="n"/>
      <c r="K215" s="97" t="n"/>
      <c r="L215" s="135" t="n"/>
      <c r="M215" s="99" t="n"/>
      <c r="N215" s="99" t="n"/>
    </row>
    <row r="216" ht="18" customHeight="1">
      <c r="A216" s="91" t="inlineStr">
        <is>
          <t>Oct-26</t>
        </is>
      </c>
      <c r="B216" s="133" t="inlineStr">
        <is>
          <t>Hemp Seed Oil 500ml</t>
        </is>
      </c>
      <c r="C216" s="110" t="n"/>
      <c r="D216" s="95" t="n"/>
      <c r="E216" s="92" t="n"/>
      <c r="F216" s="92" t="n"/>
      <c r="G216" s="92" t="n"/>
      <c r="H216" s="92" t="n"/>
      <c r="I216" s="92" t="n"/>
      <c r="J216" s="92" t="n"/>
      <c r="K216" s="93" t="n"/>
      <c r="L216" s="134" t="n"/>
      <c r="M216" s="95" t="n"/>
      <c r="N216" s="95" t="n"/>
    </row>
    <row r="217" ht="18" customHeight="1">
      <c r="A217" s="91" t="inlineStr">
        <is>
          <t>Oct-26</t>
        </is>
      </c>
      <c r="B217" s="133" t="inlineStr">
        <is>
          <t>Hemp Protein Powder 1kg</t>
        </is>
      </c>
      <c r="C217" s="115" t="n"/>
      <c r="D217" s="99" t="n"/>
      <c r="E217" s="96" t="n"/>
      <c r="F217" s="96" t="n"/>
      <c r="G217" s="96" t="n"/>
      <c r="H217" s="96" t="n"/>
      <c r="I217" s="96" t="n"/>
      <c r="J217" s="96" t="n"/>
      <c r="K217" s="97" t="n"/>
      <c r="L217" s="135" t="n"/>
      <c r="M217" s="99" t="n"/>
      <c r="N217" s="99" t="n"/>
    </row>
    <row r="218" ht="18" customHeight="1">
      <c r="A218" s="91" t="inlineStr">
        <is>
          <t>Oct-26</t>
        </is>
      </c>
      <c r="B218" s="133" t="inlineStr">
        <is>
          <t>Hemp Hearts 500g</t>
        </is>
      </c>
      <c r="C218" s="110" t="n"/>
      <c r="D218" s="95" t="n"/>
      <c r="E218" s="92" t="n"/>
      <c r="F218" s="92" t="n"/>
      <c r="G218" s="92" t="n"/>
      <c r="H218" s="92" t="n"/>
      <c r="I218" s="92" t="n"/>
      <c r="J218" s="92" t="n"/>
      <c r="K218" s="93" t="n"/>
      <c r="L218" s="134" t="n"/>
      <c r="M218" s="95" t="n"/>
      <c r="N218" s="95" t="n"/>
    </row>
    <row r="219" ht="18" customHeight="1">
      <c r="A219" s="91" t="inlineStr">
        <is>
          <t>Oct-26</t>
        </is>
      </c>
      <c r="B219" s="133" t="inlineStr">
        <is>
          <t>Hemp Granola 400g</t>
        </is>
      </c>
      <c r="C219" s="115" t="n"/>
      <c r="D219" s="99" t="n"/>
      <c r="E219" s="96" t="n"/>
      <c r="F219" s="96" t="n"/>
      <c r="G219" s="96" t="n"/>
      <c r="H219" s="96" t="n"/>
      <c r="I219" s="96" t="n"/>
      <c r="J219" s="96" t="n"/>
      <c r="K219" s="97" t="n"/>
      <c r="L219" s="135" t="n"/>
      <c r="M219" s="99" t="n"/>
      <c r="N219" s="99" t="n"/>
    </row>
    <row r="220" ht="18" customHeight="1">
      <c r="A220" s="91" t="inlineStr">
        <is>
          <t>Oct-26</t>
        </is>
      </c>
      <c r="B220" s="133" t="inlineStr">
        <is>
          <t>Hemp Energy Bar (Box 12)</t>
        </is>
      </c>
      <c r="C220" s="110" t="n"/>
      <c r="D220" s="95" t="n"/>
      <c r="E220" s="92" t="n"/>
      <c r="F220" s="92" t="n"/>
      <c r="G220" s="92" t="n"/>
      <c r="H220" s="92" t="n"/>
      <c r="I220" s="92" t="n"/>
      <c r="J220" s="92" t="n"/>
      <c r="K220" s="93" t="n"/>
      <c r="L220" s="134" t="n"/>
      <c r="M220" s="95" t="n"/>
      <c r="N220" s="95" t="n"/>
    </row>
    <row r="221" ht="18" customHeight="1">
      <c r="A221" s="91" t="inlineStr">
        <is>
          <t>Oct-26</t>
        </is>
      </c>
      <c r="B221" s="133" t="inlineStr">
        <is>
          <t>Hemp Superfood Blend 300g</t>
        </is>
      </c>
      <c r="C221" s="115" t="n"/>
      <c r="D221" s="99" t="n"/>
      <c r="E221" s="96" t="n"/>
      <c r="F221" s="96" t="n"/>
      <c r="G221" s="96" t="n"/>
      <c r="H221" s="96" t="n"/>
      <c r="I221" s="96" t="n"/>
      <c r="J221" s="96" t="n"/>
      <c r="K221" s="97" t="n"/>
      <c r="L221" s="135" t="n"/>
      <c r="M221" s="99" t="n"/>
      <c r="N221" s="99" t="n"/>
    </row>
    <row r="222" ht="18" customHeight="1">
      <c r="A222" s="91" t="inlineStr">
        <is>
          <t>Oct-26</t>
        </is>
      </c>
      <c r="B222" s="133" t="inlineStr">
        <is>
          <t>Hemp Omega Capsules 60s</t>
        </is>
      </c>
      <c r="C222" s="110" t="n"/>
      <c r="D222" s="95" t="n"/>
      <c r="E222" s="92" t="n"/>
      <c r="F222" s="92" t="n"/>
      <c r="G222" s="92" t="n"/>
      <c r="H222" s="92" t="n"/>
      <c r="I222" s="92" t="n"/>
      <c r="J222" s="92" t="n"/>
      <c r="K222" s="93" t="n"/>
      <c r="L222" s="134" t="n"/>
      <c r="M222" s="95" t="n"/>
      <c r="N222" s="95" t="n"/>
    </row>
    <row r="223" ht="18" customHeight="1">
      <c r="A223" s="91" t="inlineStr">
        <is>
          <t>Oct-26</t>
        </is>
      </c>
      <c r="B223" s="133" t="inlineStr">
        <is>
          <t>Hemp Infused Honey 250g</t>
        </is>
      </c>
      <c r="C223" s="115" t="n"/>
      <c r="D223" s="99" t="n"/>
      <c r="E223" s="96" t="n"/>
      <c r="F223" s="96" t="n"/>
      <c r="G223" s="96" t="n"/>
      <c r="H223" s="96" t="n"/>
      <c r="I223" s="96" t="n"/>
      <c r="J223" s="96" t="n"/>
      <c r="K223" s="97" t="n"/>
      <c r="L223" s="135" t="n"/>
      <c r="M223" s="99" t="n"/>
      <c r="N223" s="99" t="n"/>
    </row>
    <row r="224" ht="18" customHeight="1">
      <c r="A224" s="91" t="inlineStr">
        <is>
          <t>Oct-26</t>
        </is>
      </c>
      <c r="B224" s="133" t="inlineStr">
        <is>
          <t>Hemp Seed Butter 400g</t>
        </is>
      </c>
      <c r="C224" s="110" t="n"/>
      <c r="D224" s="95" t="n"/>
      <c r="E224" s="92" t="n"/>
      <c r="F224" s="92" t="n"/>
      <c r="G224" s="92" t="n"/>
      <c r="H224" s="92" t="n"/>
      <c r="I224" s="92" t="n"/>
      <c r="J224" s="92" t="n"/>
      <c r="K224" s="93" t="n"/>
      <c r="L224" s="134" t="n"/>
      <c r="M224" s="95" t="n"/>
      <c r="N224" s="95" t="n"/>
    </row>
    <row r="225" ht="18" customHeight="1">
      <c r="A225" s="91" t="inlineStr">
        <is>
          <t>Oct-26</t>
        </is>
      </c>
      <c r="B225" s="133" t="inlineStr">
        <is>
          <t>Hemp Flour 1kg</t>
        </is>
      </c>
      <c r="C225" s="115" t="n"/>
      <c r="D225" s="99" t="n"/>
      <c r="E225" s="96" t="n"/>
      <c r="F225" s="96" t="n"/>
      <c r="G225" s="96" t="n"/>
      <c r="H225" s="96" t="n"/>
      <c r="I225" s="96" t="n"/>
      <c r="J225" s="96" t="n"/>
      <c r="K225" s="97" t="n"/>
      <c r="L225" s="135" t="n"/>
      <c r="M225" s="99" t="n"/>
      <c r="N225" s="99" t="n"/>
    </row>
    <row r="226" ht="18" customHeight="1">
      <c r="A226" s="91" t="inlineStr">
        <is>
          <t>Nov-26</t>
        </is>
      </c>
      <c r="B226" s="133" t="inlineStr">
        <is>
          <t>Hemp Seed Oil 500ml</t>
        </is>
      </c>
      <c r="C226" s="110" t="n"/>
      <c r="D226" s="95" t="n"/>
      <c r="E226" s="92" t="n"/>
      <c r="F226" s="92" t="n"/>
      <c r="G226" s="92" t="n"/>
      <c r="H226" s="92" t="n"/>
      <c r="I226" s="92" t="n"/>
      <c r="J226" s="92" t="n"/>
      <c r="K226" s="93" t="n"/>
      <c r="L226" s="134" t="n"/>
      <c r="M226" s="95" t="n"/>
      <c r="N226" s="95" t="n"/>
    </row>
    <row r="227" ht="18" customHeight="1">
      <c r="A227" s="91" t="inlineStr">
        <is>
          <t>Nov-26</t>
        </is>
      </c>
      <c r="B227" s="133" t="inlineStr">
        <is>
          <t>Hemp Protein Powder 1kg</t>
        </is>
      </c>
      <c r="C227" s="115" t="n"/>
      <c r="D227" s="99" t="n"/>
      <c r="E227" s="96" t="n"/>
      <c r="F227" s="96" t="n"/>
      <c r="G227" s="96" t="n"/>
      <c r="H227" s="96" t="n"/>
      <c r="I227" s="96" t="n"/>
      <c r="J227" s="96" t="n"/>
      <c r="K227" s="97" t="n"/>
      <c r="L227" s="135" t="n"/>
      <c r="M227" s="99" t="n"/>
      <c r="N227" s="99" t="n"/>
    </row>
    <row r="228" ht="18" customHeight="1">
      <c r="A228" s="91" t="inlineStr">
        <is>
          <t>Nov-26</t>
        </is>
      </c>
      <c r="B228" s="133" t="inlineStr">
        <is>
          <t>Hemp Hearts 500g</t>
        </is>
      </c>
      <c r="C228" s="110" t="n"/>
      <c r="D228" s="95" t="n"/>
      <c r="E228" s="92" t="n"/>
      <c r="F228" s="92" t="n"/>
      <c r="G228" s="92" t="n"/>
      <c r="H228" s="92" t="n"/>
      <c r="I228" s="92" t="n"/>
      <c r="J228" s="92" t="n"/>
      <c r="K228" s="93" t="n"/>
      <c r="L228" s="134" t="n"/>
      <c r="M228" s="95" t="n"/>
      <c r="N228" s="95" t="n"/>
    </row>
    <row r="229" ht="18" customHeight="1">
      <c r="A229" s="91" t="inlineStr">
        <is>
          <t>Nov-26</t>
        </is>
      </c>
      <c r="B229" s="133" t="inlineStr">
        <is>
          <t>Hemp Granola 400g</t>
        </is>
      </c>
      <c r="C229" s="115" t="n"/>
      <c r="D229" s="99" t="n"/>
      <c r="E229" s="96" t="n"/>
      <c r="F229" s="96" t="n"/>
      <c r="G229" s="96" t="n"/>
      <c r="H229" s="96" t="n"/>
      <c r="I229" s="96" t="n"/>
      <c r="J229" s="96" t="n"/>
      <c r="K229" s="97" t="n"/>
      <c r="L229" s="135" t="n"/>
      <c r="M229" s="99" t="n"/>
      <c r="N229" s="99" t="n"/>
    </row>
    <row r="230" ht="18" customHeight="1">
      <c r="A230" s="91" t="inlineStr">
        <is>
          <t>Nov-26</t>
        </is>
      </c>
      <c r="B230" s="133" t="inlineStr">
        <is>
          <t>Hemp Energy Bar (Box 12)</t>
        </is>
      </c>
      <c r="C230" s="110" t="n"/>
      <c r="D230" s="95" t="n"/>
      <c r="E230" s="92" t="n"/>
      <c r="F230" s="92" t="n"/>
      <c r="G230" s="92" t="n"/>
      <c r="H230" s="92" t="n"/>
      <c r="I230" s="92" t="n"/>
      <c r="J230" s="92" t="n"/>
      <c r="K230" s="93" t="n"/>
      <c r="L230" s="134" t="n"/>
      <c r="M230" s="95" t="n"/>
      <c r="N230" s="95" t="n"/>
    </row>
    <row r="231" ht="18" customHeight="1">
      <c r="A231" s="91" t="inlineStr">
        <is>
          <t>Nov-26</t>
        </is>
      </c>
      <c r="B231" s="133" t="inlineStr">
        <is>
          <t>Hemp Superfood Blend 300g</t>
        </is>
      </c>
      <c r="C231" s="115" t="n"/>
      <c r="D231" s="99" t="n"/>
      <c r="E231" s="96" t="n"/>
      <c r="F231" s="96" t="n"/>
      <c r="G231" s="96" t="n"/>
      <c r="H231" s="96" t="n"/>
      <c r="I231" s="96" t="n"/>
      <c r="J231" s="96" t="n"/>
      <c r="K231" s="97" t="n"/>
      <c r="L231" s="135" t="n"/>
      <c r="M231" s="99" t="n"/>
      <c r="N231" s="99" t="n"/>
    </row>
    <row r="232" ht="18" customHeight="1">
      <c r="A232" s="91" t="inlineStr">
        <is>
          <t>Nov-26</t>
        </is>
      </c>
      <c r="B232" s="133" t="inlineStr">
        <is>
          <t>Hemp Omega Capsules 60s</t>
        </is>
      </c>
      <c r="C232" s="110" t="n"/>
      <c r="D232" s="95" t="n"/>
      <c r="E232" s="92" t="n"/>
      <c r="F232" s="92" t="n"/>
      <c r="G232" s="92" t="n"/>
      <c r="H232" s="92" t="n"/>
      <c r="I232" s="92" t="n"/>
      <c r="J232" s="92" t="n"/>
      <c r="K232" s="93" t="n"/>
      <c r="L232" s="134" t="n"/>
      <c r="M232" s="95" t="n"/>
      <c r="N232" s="95" t="n"/>
    </row>
    <row r="233" ht="18" customHeight="1">
      <c r="A233" s="91" t="inlineStr">
        <is>
          <t>Nov-26</t>
        </is>
      </c>
      <c r="B233" s="133" t="inlineStr">
        <is>
          <t>Hemp Infused Honey 250g</t>
        </is>
      </c>
      <c r="C233" s="115" t="n"/>
      <c r="D233" s="99" t="n"/>
      <c r="E233" s="96" t="n"/>
      <c r="F233" s="96" t="n"/>
      <c r="G233" s="96" t="n"/>
      <c r="H233" s="96" t="n"/>
      <c r="I233" s="96" t="n"/>
      <c r="J233" s="96" t="n"/>
      <c r="K233" s="97" t="n"/>
      <c r="L233" s="135" t="n"/>
      <c r="M233" s="99" t="n"/>
      <c r="N233" s="99" t="n"/>
    </row>
    <row r="234" ht="18" customHeight="1">
      <c r="A234" s="91" t="inlineStr">
        <is>
          <t>Nov-26</t>
        </is>
      </c>
      <c r="B234" s="133" t="inlineStr">
        <is>
          <t>Hemp Seed Butter 400g</t>
        </is>
      </c>
      <c r="C234" s="110" t="n"/>
      <c r="D234" s="95" t="n"/>
      <c r="E234" s="92" t="n"/>
      <c r="F234" s="92" t="n"/>
      <c r="G234" s="92" t="n"/>
      <c r="H234" s="92" t="n"/>
      <c r="I234" s="92" t="n"/>
      <c r="J234" s="92" t="n"/>
      <c r="K234" s="93" t="n"/>
      <c r="L234" s="134" t="n"/>
      <c r="M234" s="95" t="n"/>
      <c r="N234" s="95" t="n"/>
    </row>
    <row r="235" ht="18" customHeight="1">
      <c r="A235" s="91" t="inlineStr">
        <is>
          <t>Nov-26</t>
        </is>
      </c>
      <c r="B235" s="133" t="inlineStr">
        <is>
          <t>Hemp Flour 1kg</t>
        </is>
      </c>
      <c r="C235" s="115" t="n"/>
      <c r="D235" s="99" t="n"/>
      <c r="E235" s="96" t="n"/>
      <c r="F235" s="96" t="n"/>
      <c r="G235" s="96" t="n"/>
      <c r="H235" s="96" t="n"/>
      <c r="I235" s="96" t="n"/>
      <c r="J235" s="96" t="n"/>
      <c r="K235" s="97" t="n"/>
      <c r="L235" s="135" t="n"/>
      <c r="M235" s="99" t="n"/>
      <c r="N235" s="99" t="n"/>
    </row>
    <row r="236" ht="18" customHeight="1">
      <c r="A236" s="91" t="inlineStr">
        <is>
          <t>Dec-26</t>
        </is>
      </c>
      <c r="B236" s="133" t="inlineStr">
        <is>
          <t>Hemp Seed Oil 500ml</t>
        </is>
      </c>
      <c r="C236" s="110" t="n"/>
      <c r="D236" s="95" t="n"/>
      <c r="E236" s="92" t="n"/>
      <c r="F236" s="92" t="n"/>
      <c r="G236" s="92" t="n"/>
      <c r="H236" s="92" t="n"/>
      <c r="I236" s="92" t="n"/>
      <c r="J236" s="92" t="n"/>
      <c r="K236" s="93" t="n"/>
      <c r="L236" s="134" t="n"/>
      <c r="M236" s="95" t="n"/>
      <c r="N236" s="95" t="n"/>
    </row>
    <row r="237" ht="18" customHeight="1">
      <c r="A237" s="91" t="inlineStr">
        <is>
          <t>Dec-26</t>
        </is>
      </c>
      <c r="B237" s="133" t="inlineStr">
        <is>
          <t>Hemp Protein Powder 1kg</t>
        </is>
      </c>
      <c r="C237" s="115" t="n"/>
      <c r="D237" s="99" t="n"/>
      <c r="E237" s="96" t="n"/>
      <c r="F237" s="96" t="n"/>
      <c r="G237" s="96" t="n"/>
      <c r="H237" s="96" t="n"/>
      <c r="I237" s="96" t="n"/>
      <c r="J237" s="96" t="n"/>
      <c r="K237" s="97" t="n"/>
      <c r="L237" s="135" t="n"/>
      <c r="M237" s="99" t="n"/>
      <c r="N237" s="99" t="n"/>
    </row>
    <row r="238" ht="18" customHeight="1">
      <c r="A238" s="91" t="inlineStr">
        <is>
          <t>Dec-26</t>
        </is>
      </c>
      <c r="B238" s="133" t="inlineStr">
        <is>
          <t>Hemp Hearts 500g</t>
        </is>
      </c>
      <c r="C238" s="110" t="n"/>
      <c r="D238" s="95" t="n"/>
      <c r="E238" s="92" t="n"/>
      <c r="F238" s="92" t="n"/>
      <c r="G238" s="92" t="n"/>
      <c r="H238" s="92" t="n"/>
      <c r="I238" s="92" t="n"/>
      <c r="J238" s="92" t="n"/>
      <c r="K238" s="93" t="n"/>
      <c r="L238" s="134" t="n"/>
      <c r="M238" s="95" t="n"/>
      <c r="N238" s="95" t="n"/>
    </row>
    <row r="239" ht="18" customHeight="1">
      <c r="A239" s="91" t="inlineStr">
        <is>
          <t>Dec-26</t>
        </is>
      </c>
      <c r="B239" s="133" t="inlineStr">
        <is>
          <t>Hemp Granola 400g</t>
        </is>
      </c>
      <c r="C239" s="115" t="n"/>
      <c r="D239" s="99" t="n"/>
      <c r="E239" s="96" t="n"/>
      <c r="F239" s="96" t="n"/>
      <c r="G239" s="96" t="n"/>
      <c r="H239" s="96" t="n"/>
      <c r="I239" s="96" t="n"/>
      <c r="J239" s="96" t="n"/>
      <c r="K239" s="97" t="n"/>
      <c r="L239" s="135" t="n"/>
      <c r="M239" s="99" t="n"/>
      <c r="N239" s="99" t="n"/>
    </row>
    <row r="240" ht="18" customHeight="1">
      <c r="A240" s="91" t="inlineStr">
        <is>
          <t>Dec-26</t>
        </is>
      </c>
      <c r="B240" s="133" t="inlineStr">
        <is>
          <t>Hemp Energy Bar (Box 12)</t>
        </is>
      </c>
      <c r="C240" s="110" t="n"/>
      <c r="D240" s="95" t="n"/>
      <c r="E240" s="92" t="n"/>
      <c r="F240" s="92" t="n"/>
      <c r="G240" s="92" t="n"/>
      <c r="H240" s="92" t="n"/>
      <c r="I240" s="92" t="n"/>
      <c r="J240" s="92" t="n"/>
      <c r="K240" s="93" t="n"/>
      <c r="L240" s="134" t="n"/>
      <c r="M240" s="95" t="n"/>
      <c r="N240" s="95" t="n"/>
    </row>
    <row r="241" ht="18" customHeight="1">
      <c r="A241" s="91" t="inlineStr">
        <is>
          <t>Dec-26</t>
        </is>
      </c>
      <c r="B241" s="133" t="inlineStr">
        <is>
          <t>Hemp Superfood Blend 300g</t>
        </is>
      </c>
      <c r="C241" s="115" t="n"/>
      <c r="D241" s="99" t="n"/>
      <c r="E241" s="96" t="n"/>
      <c r="F241" s="96" t="n"/>
      <c r="G241" s="96" t="n"/>
      <c r="H241" s="96" t="n"/>
      <c r="I241" s="96" t="n"/>
      <c r="J241" s="96" t="n"/>
      <c r="K241" s="97" t="n"/>
      <c r="L241" s="135" t="n"/>
      <c r="M241" s="99" t="n"/>
      <c r="N241" s="99" t="n"/>
    </row>
    <row r="242" ht="18" customHeight="1">
      <c r="A242" s="91" t="inlineStr">
        <is>
          <t>Dec-26</t>
        </is>
      </c>
      <c r="B242" s="133" t="inlineStr">
        <is>
          <t>Hemp Omega Capsules 60s</t>
        </is>
      </c>
      <c r="C242" s="110" t="n"/>
      <c r="D242" s="95" t="n"/>
      <c r="E242" s="92" t="n"/>
      <c r="F242" s="92" t="n"/>
      <c r="G242" s="92" t="n"/>
      <c r="H242" s="92" t="n"/>
      <c r="I242" s="92" t="n"/>
      <c r="J242" s="92" t="n"/>
      <c r="K242" s="93" t="n"/>
      <c r="L242" s="134" t="n"/>
      <c r="M242" s="95" t="n"/>
      <c r="N242" s="95" t="n"/>
    </row>
    <row r="243" ht="18" customHeight="1">
      <c r="A243" s="91" t="inlineStr">
        <is>
          <t>Dec-26</t>
        </is>
      </c>
      <c r="B243" s="133" t="inlineStr">
        <is>
          <t>Hemp Infused Honey 250g</t>
        </is>
      </c>
      <c r="C243" s="115" t="n"/>
      <c r="D243" s="99" t="n"/>
      <c r="E243" s="96" t="n"/>
      <c r="F243" s="96" t="n"/>
      <c r="G243" s="96" t="n"/>
      <c r="H243" s="96" t="n"/>
      <c r="I243" s="96" t="n"/>
      <c r="J243" s="96" t="n"/>
      <c r="K243" s="97" t="n"/>
      <c r="L243" s="135" t="n"/>
      <c r="M243" s="99" t="n"/>
      <c r="N243" s="99" t="n"/>
    </row>
    <row r="244" ht="18" customHeight="1">
      <c r="A244" s="91" t="inlineStr">
        <is>
          <t>Dec-26</t>
        </is>
      </c>
      <c r="B244" s="133" t="inlineStr">
        <is>
          <t>Hemp Seed Butter 400g</t>
        </is>
      </c>
      <c r="C244" s="110" t="n"/>
      <c r="D244" s="95" t="n"/>
      <c r="E244" s="92" t="n"/>
      <c r="F244" s="92" t="n"/>
      <c r="G244" s="92" t="n"/>
      <c r="H244" s="92" t="n"/>
      <c r="I244" s="92" t="n"/>
      <c r="J244" s="92" t="n"/>
      <c r="K244" s="93" t="n"/>
      <c r="L244" s="134" t="n"/>
      <c r="M244" s="95" t="n"/>
      <c r="N244" s="95" t="n"/>
    </row>
    <row r="245" ht="18" customHeight="1">
      <c r="A245" s="91" t="inlineStr">
        <is>
          <t>Dec-26</t>
        </is>
      </c>
      <c r="B245" s="133" t="inlineStr">
        <is>
          <t>Hemp Flour 1kg</t>
        </is>
      </c>
      <c r="C245" s="115" t="n"/>
      <c r="D245" s="99" t="n"/>
      <c r="E245" s="96" t="n"/>
      <c r="F245" s="96" t="n"/>
      <c r="G245" s="96" t="n"/>
      <c r="H245" s="96" t="n"/>
      <c r="I245" s="96" t="n"/>
      <c r="J245" s="96" t="n"/>
      <c r="K245" s="97" t="n"/>
      <c r="L245" s="135" t="n"/>
      <c r="M245" s="99" t="n"/>
      <c r="N245" s="99" t="n"/>
    </row>
    <row r="247" ht="22" customHeight="1">
      <c r="A247" s="80" t="inlineStr">
        <is>
          <t>PRODUCT TOTALS (all months)</t>
        </is>
      </c>
      <c r="B247" s="2" t="n"/>
    </row>
    <row r="248" ht="20" customHeight="1">
      <c r="A248" s="136" t="inlineStr">
        <is>
          <t>All months</t>
        </is>
      </c>
      <c r="B248" s="137" t="inlineStr">
        <is>
          <t>Hemp Seed Oil 500ml</t>
        </is>
      </c>
      <c r="C248" s="107">
        <f>SUMIF(B6:B245,B248,C6:C245)</f>
        <v/>
      </c>
      <c r="E248" s="107">
        <f>SUMIF(B6:B245,B248,E6:E245)</f>
        <v/>
      </c>
      <c r="F248" s="107">
        <f>SUMIF(B6:B245,B248,F6:F245)</f>
        <v/>
      </c>
      <c r="G248" s="107">
        <f>SUMIF(B6:B245,B248,G6:G245)</f>
        <v/>
      </c>
      <c r="H248" s="107">
        <f>SUMIF(B6:B245,B248,H6:H245)</f>
        <v/>
      </c>
      <c r="I248" s="107">
        <f>SUMIF(B6:B245,B248,I6:I245)</f>
        <v/>
      </c>
      <c r="J248" s="107">
        <f>SUMIF(B6:B245,B248,J6:J245)</f>
        <v/>
      </c>
      <c r="K248" s="107">
        <f>IFERROR(AVERAGEIF(B6:B245,B248,K6:K245),"–")</f>
        <v/>
      </c>
      <c r="L248" s="107">
        <f>IFERROR(AVERAGEIF(B6:B245,B248,L6:L245),"–")</f>
        <v/>
      </c>
    </row>
    <row r="249" ht="20" customHeight="1">
      <c r="A249" s="136" t="inlineStr">
        <is>
          <t>All months</t>
        </is>
      </c>
      <c r="B249" s="137" t="inlineStr">
        <is>
          <t>Hemp Protein Powder 1kg</t>
        </is>
      </c>
      <c r="C249" s="107">
        <f>SUMIF(B6:B245,B249,C6:C245)</f>
        <v/>
      </c>
      <c r="E249" s="107">
        <f>SUMIF(B6:B245,B249,E6:E245)</f>
        <v/>
      </c>
      <c r="F249" s="107">
        <f>SUMIF(B6:B245,B249,F6:F245)</f>
        <v/>
      </c>
      <c r="G249" s="107">
        <f>SUMIF(B6:B245,B249,G6:G245)</f>
        <v/>
      </c>
      <c r="H249" s="107">
        <f>SUMIF(B6:B245,B249,H6:H245)</f>
        <v/>
      </c>
      <c r="I249" s="107">
        <f>SUMIF(B6:B245,B249,I6:I245)</f>
        <v/>
      </c>
      <c r="J249" s="107">
        <f>SUMIF(B6:B245,B249,J6:J245)</f>
        <v/>
      </c>
      <c r="K249" s="107">
        <f>IFERROR(AVERAGEIF(B6:B245,B249,K6:K245),"–")</f>
        <v/>
      </c>
      <c r="L249" s="107">
        <f>IFERROR(AVERAGEIF(B6:B245,B249,L6:L245),"–")</f>
        <v/>
      </c>
    </row>
    <row r="250" ht="20" customHeight="1">
      <c r="A250" s="136" t="inlineStr">
        <is>
          <t>All months</t>
        </is>
      </c>
      <c r="B250" s="137" t="inlineStr">
        <is>
          <t>Hemp Hearts 500g</t>
        </is>
      </c>
      <c r="C250" s="107">
        <f>SUMIF(B6:B245,B250,C6:C245)</f>
        <v/>
      </c>
      <c r="E250" s="107">
        <f>SUMIF(B6:B245,B250,E6:E245)</f>
        <v/>
      </c>
      <c r="F250" s="107">
        <f>SUMIF(B6:B245,B250,F6:F245)</f>
        <v/>
      </c>
      <c r="G250" s="107">
        <f>SUMIF(B6:B245,B250,G6:G245)</f>
        <v/>
      </c>
      <c r="H250" s="107">
        <f>SUMIF(B6:B245,B250,H6:H245)</f>
        <v/>
      </c>
      <c r="I250" s="107">
        <f>SUMIF(B6:B245,B250,I6:I245)</f>
        <v/>
      </c>
      <c r="J250" s="107">
        <f>SUMIF(B6:B245,B250,J6:J245)</f>
        <v/>
      </c>
      <c r="K250" s="107">
        <f>IFERROR(AVERAGEIF(B6:B245,B250,K6:K245),"–")</f>
        <v/>
      </c>
      <c r="L250" s="107">
        <f>IFERROR(AVERAGEIF(B6:B245,B250,L6:L245),"–")</f>
        <v/>
      </c>
    </row>
    <row r="251" ht="20" customHeight="1">
      <c r="A251" s="136" t="inlineStr">
        <is>
          <t>All months</t>
        </is>
      </c>
      <c r="B251" s="137" t="inlineStr">
        <is>
          <t>Hemp Granola 400g</t>
        </is>
      </c>
      <c r="C251" s="107">
        <f>SUMIF(B6:B245,B251,C6:C245)</f>
        <v/>
      </c>
      <c r="E251" s="107">
        <f>SUMIF(B6:B245,B251,E6:E245)</f>
        <v/>
      </c>
      <c r="F251" s="107">
        <f>SUMIF(B6:B245,B251,F6:F245)</f>
        <v/>
      </c>
      <c r="G251" s="107">
        <f>SUMIF(B6:B245,B251,G6:G245)</f>
        <v/>
      </c>
      <c r="H251" s="107">
        <f>SUMIF(B6:B245,B251,H6:H245)</f>
        <v/>
      </c>
      <c r="I251" s="107">
        <f>SUMIF(B6:B245,B251,I6:I245)</f>
        <v/>
      </c>
      <c r="J251" s="107">
        <f>SUMIF(B6:B245,B251,J6:J245)</f>
        <v/>
      </c>
      <c r="K251" s="107">
        <f>IFERROR(AVERAGEIF(B6:B245,B251,K6:K245),"–")</f>
        <v/>
      </c>
      <c r="L251" s="107">
        <f>IFERROR(AVERAGEIF(B6:B245,B251,L6:L245),"–")</f>
        <v/>
      </c>
    </row>
    <row r="252" ht="20" customHeight="1">
      <c r="A252" s="136" t="inlineStr">
        <is>
          <t>All months</t>
        </is>
      </c>
      <c r="B252" s="137" t="inlineStr">
        <is>
          <t>Hemp Energy Bar (Box 12)</t>
        </is>
      </c>
      <c r="C252" s="107">
        <f>SUMIF(B6:B245,B252,C6:C245)</f>
        <v/>
      </c>
      <c r="E252" s="107">
        <f>SUMIF(B6:B245,B252,E6:E245)</f>
        <v/>
      </c>
      <c r="F252" s="107">
        <f>SUMIF(B6:B245,B252,F6:F245)</f>
        <v/>
      </c>
      <c r="G252" s="107">
        <f>SUMIF(B6:B245,B252,G6:G245)</f>
        <v/>
      </c>
      <c r="H252" s="107">
        <f>SUMIF(B6:B245,B252,H6:H245)</f>
        <v/>
      </c>
      <c r="I252" s="107">
        <f>SUMIF(B6:B245,B252,I6:I245)</f>
        <v/>
      </c>
      <c r="J252" s="107">
        <f>SUMIF(B6:B245,B252,J6:J245)</f>
        <v/>
      </c>
      <c r="K252" s="107">
        <f>IFERROR(AVERAGEIF(B6:B245,B252,K6:K245),"–")</f>
        <v/>
      </c>
      <c r="L252" s="107">
        <f>IFERROR(AVERAGEIF(B6:B245,B252,L6:L245),"–")</f>
        <v/>
      </c>
    </row>
    <row r="253" ht="20" customHeight="1">
      <c r="A253" s="136" t="inlineStr">
        <is>
          <t>All months</t>
        </is>
      </c>
      <c r="B253" s="137" t="inlineStr">
        <is>
          <t>Hemp Superfood Blend 300g</t>
        </is>
      </c>
      <c r="C253" s="107">
        <f>SUMIF(B6:B245,B253,C6:C245)</f>
        <v/>
      </c>
      <c r="E253" s="107">
        <f>SUMIF(B6:B245,B253,E6:E245)</f>
        <v/>
      </c>
      <c r="F253" s="107">
        <f>SUMIF(B6:B245,B253,F6:F245)</f>
        <v/>
      </c>
      <c r="G253" s="107">
        <f>SUMIF(B6:B245,B253,G6:G245)</f>
        <v/>
      </c>
      <c r="H253" s="107">
        <f>SUMIF(B6:B245,B253,H6:H245)</f>
        <v/>
      </c>
      <c r="I253" s="107">
        <f>SUMIF(B6:B245,B253,I6:I245)</f>
        <v/>
      </c>
      <c r="J253" s="107">
        <f>SUMIF(B6:B245,B253,J6:J245)</f>
        <v/>
      </c>
      <c r="K253" s="107">
        <f>IFERROR(AVERAGEIF(B6:B245,B253,K6:K245),"–")</f>
        <v/>
      </c>
      <c r="L253" s="107">
        <f>IFERROR(AVERAGEIF(B6:B245,B253,L6:L245),"–")</f>
        <v/>
      </c>
    </row>
    <row r="254" ht="20" customHeight="1">
      <c r="A254" s="136" t="inlineStr">
        <is>
          <t>All months</t>
        </is>
      </c>
      <c r="B254" s="137" t="inlineStr">
        <is>
          <t>Hemp Omega Capsules 60s</t>
        </is>
      </c>
      <c r="C254" s="107">
        <f>SUMIF(B6:B245,B254,C6:C245)</f>
        <v/>
      </c>
      <c r="E254" s="107">
        <f>SUMIF(B6:B245,B254,E6:E245)</f>
        <v/>
      </c>
      <c r="F254" s="107">
        <f>SUMIF(B6:B245,B254,F6:F245)</f>
        <v/>
      </c>
      <c r="G254" s="107">
        <f>SUMIF(B6:B245,B254,G6:G245)</f>
        <v/>
      </c>
      <c r="H254" s="107">
        <f>SUMIF(B6:B245,B254,H6:H245)</f>
        <v/>
      </c>
      <c r="I254" s="107">
        <f>SUMIF(B6:B245,B254,I6:I245)</f>
        <v/>
      </c>
      <c r="J254" s="107">
        <f>SUMIF(B6:B245,B254,J6:J245)</f>
        <v/>
      </c>
      <c r="K254" s="107">
        <f>IFERROR(AVERAGEIF(B6:B245,B254,K6:K245),"–")</f>
        <v/>
      </c>
      <c r="L254" s="107">
        <f>IFERROR(AVERAGEIF(B6:B245,B254,L6:L245),"–")</f>
        <v/>
      </c>
    </row>
    <row r="255" ht="20" customHeight="1">
      <c r="A255" s="136" t="inlineStr">
        <is>
          <t>All months</t>
        </is>
      </c>
      <c r="B255" s="137" t="inlineStr">
        <is>
          <t>Hemp Infused Honey 250g</t>
        </is>
      </c>
      <c r="C255" s="107">
        <f>SUMIF(B6:B245,B255,C6:C245)</f>
        <v/>
      </c>
      <c r="E255" s="107">
        <f>SUMIF(B6:B245,B255,E6:E245)</f>
        <v/>
      </c>
      <c r="F255" s="107">
        <f>SUMIF(B6:B245,B255,F6:F245)</f>
        <v/>
      </c>
      <c r="G255" s="107">
        <f>SUMIF(B6:B245,B255,G6:G245)</f>
        <v/>
      </c>
      <c r="H255" s="107">
        <f>SUMIF(B6:B245,B255,H6:H245)</f>
        <v/>
      </c>
      <c r="I255" s="107">
        <f>SUMIF(B6:B245,B255,I6:I245)</f>
        <v/>
      </c>
      <c r="J255" s="107">
        <f>SUMIF(B6:B245,B255,J6:J245)</f>
        <v/>
      </c>
      <c r="K255" s="107">
        <f>IFERROR(AVERAGEIF(B6:B245,B255,K6:K245),"–")</f>
        <v/>
      </c>
      <c r="L255" s="107">
        <f>IFERROR(AVERAGEIF(B6:B245,B255,L6:L245),"–")</f>
        <v/>
      </c>
    </row>
    <row r="256" ht="20" customHeight="1">
      <c r="A256" s="136" t="inlineStr">
        <is>
          <t>All months</t>
        </is>
      </c>
      <c r="B256" s="137" t="inlineStr">
        <is>
          <t>Hemp Seed Butter 400g</t>
        </is>
      </c>
      <c r="C256" s="107">
        <f>SUMIF(B6:B245,B256,C6:C245)</f>
        <v/>
      </c>
      <c r="E256" s="107">
        <f>SUMIF(B6:B245,B256,E6:E245)</f>
        <v/>
      </c>
      <c r="F256" s="107">
        <f>SUMIF(B6:B245,B256,F6:F245)</f>
        <v/>
      </c>
      <c r="G256" s="107">
        <f>SUMIF(B6:B245,B256,G6:G245)</f>
        <v/>
      </c>
      <c r="H256" s="107">
        <f>SUMIF(B6:B245,B256,H6:H245)</f>
        <v/>
      </c>
      <c r="I256" s="107">
        <f>SUMIF(B6:B245,B256,I6:I245)</f>
        <v/>
      </c>
      <c r="J256" s="107">
        <f>SUMIF(B6:B245,B256,J6:J245)</f>
        <v/>
      </c>
      <c r="K256" s="107">
        <f>IFERROR(AVERAGEIF(B6:B245,B256,K6:K245),"–")</f>
        <v/>
      </c>
      <c r="L256" s="107">
        <f>IFERROR(AVERAGEIF(B6:B245,B256,L6:L245),"–")</f>
        <v/>
      </c>
    </row>
    <row r="257" ht="20" customHeight="1">
      <c r="A257" s="136" t="inlineStr">
        <is>
          <t>All months</t>
        </is>
      </c>
      <c r="B257" s="137" t="inlineStr">
        <is>
          <t>Hemp Flour 1kg</t>
        </is>
      </c>
      <c r="C257" s="107">
        <f>SUMIF(B6:B245,B257,C6:C245)</f>
        <v/>
      </c>
      <c r="E257" s="107">
        <f>SUMIF(B6:B245,B257,E6:E245)</f>
        <v/>
      </c>
      <c r="F257" s="107">
        <f>SUMIF(B6:B245,B257,F6:F245)</f>
        <v/>
      </c>
      <c r="G257" s="107">
        <f>SUMIF(B6:B245,B257,G6:G245)</f>
        <v/>
      </c>
      <c r="H257" s="107">
        <f>SUMIF(B6:B245,B257,H6:H245)</f>
        <v/>
      </c>
      <c r="I257" s="107">
        <f>SUMIF(B6:B245,B257,I6:I245)</f>
        <v/>
      </c>
      <c r="J257" s="107">
        <f>SUMIF(B6:B245,B257,J6:J245)</f>
        <v/>
      </c>
      <c r="K257" s="107">
        <f>IFERROR(AVERAGEIF(B6:B245,B257,K6:K245),"–")</f>
        <v/>
      </c>
      <c r="L257" s="107">
        <f>IFERROR(AVERAGEIF(B6:B245,B257,L6:L245),"–")</f>
        <v/>
      </c>
    </row>
  </sheetData>
  <mergeCells count="5">
    <mergeCell ref="A3:N3"/>
    <mergeCell ref="A4:N4"/>
    <mergeCell ref="A2:N2"/>
    <mergeCell ref="A247:B247"/>
    <mergeCell ref="A1:N1"/>
  </mergeCells>
  <dataValidations count="1">
    <dataValidation sqref="M6:M245" showDropDown="0" showInputMessage="0" showErrorMessage="0" allowBlank="1" type="list">
      <formula1>"Yes,No,Pending"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2026-05-07T13:55:45Z</dcterms:created>
  <dcterms:modified xsi:type="dcterms:W3CDTF">2026-05-07T13:55:46Z</dcterms:modified>
</cp:coreProperties>
</file>